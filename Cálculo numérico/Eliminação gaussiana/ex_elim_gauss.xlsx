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083b9f244c77dc93/Biblioteca/Prof. Substituto - DEC/Disciplinas/DEC7142 Cálculo Numérico em Computadores/Material/Unidade 3/"/>
    </mc:Choice>
  </mc:AlternateContent>
  <xr:revisionPtr revIDLastSave="6" documentId="11_AD4D361C20488DEA4E38A01C04DA552A5ADEDD85" xr6:coauthVersionLast="47" xr6:coauthVersionMax="47" xr10:uidLastSave="{2E976F6B-2802-415D-BE28-3DCD5EE75E48}"/>
  <bookViews>
    <workbookView xWindow="14400" yWindow="0" windowWidth="14400" windowHeight="15600" activeTab="1" xr2:uid="{00000000-000D-0000-FFFF-FFFF00000000}"/>
  </bookViews>
  <sheets>
    <sheet name="Ex_3" sheetId="2" r:id="rId1"/>
    <sheet name="Ex_4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3" l="1"/>
  <c r="D40" i="3" s="1"/>
  <c r="D46" i="3" s="1"/>
  <c r="D53" i="3" s="1"/>
  <c r="D59" i="3" s="1"/>
  <c r="D65" i="3" s="1"/>
  <c r="E75" i="3" s="1"/>
  <c r="C34" i="3"/>
  <c r="C40" i="3" s="1"/>
  <c r="C46" i="3" s="1"/>
  <c r="C53" i="3" s="1"/>
  <c r="C59" i="3" s="1"/>
  <c r="C65" i="3" s="1"/>
  <c r="C75" i="3" s="1"/>
  <c r="F30" i="3"/>
  <c r="C30" i="3"/>
  <c r="D27" i="3"/>
  <c r="C27" i="3"/>
  <c r="B27" i="3"/>
  <c r="B34" i="3" s="1"/>
  <c r="B40" i="3" s="1"/>
  <c r="B46" i="3" s="1"/>
  <c r="B53" i="3" s="1"/>
  <c r="B59" i="3" s="1"/>
  <c r="B65" i="3" s="1"/>
  <c r="A75" i="3" s="1"/>
  <c r="C26" i="3"/>
  <c r="D29" i="3" s="1"/>
  <c r="D36" i="3" s="1"/>
  <c r="D42" i="3" s="1"/>
  <c r="F23" i="3"/>
  <c r="E23" i="3"/>
  <c r="E30" i="3" s="1"/>
  <c r="D23" i="3"/>
  <c r="D30" i="3" s="1"/>
  <c r="C23" i="3"/>
  <c r="B23" i="3"/>
  <c r="B30" i="3" s="1"/>
  <c r="F22" i="3"/>
  <c r="E22" i="3"/>
  <c r="D22" i="3"/>
  <c r="C22" i="3"/>
  <c r="B22" i="3"/>
  <c r="B29" i="3" s="1"/>
  <c r="B36" i="3" s="1"/>
  <c r="B42" i="3" s="1"/>
  <c r="I21" i="3"/>
  <c r="F21" i="3"/>
  <c r="F28" i="3" s="1"/>
  <c r="F35" i="3" s="1"/>
  <c r="F41" i="3" s="1"/>
  <c r="F47" i="3" s="1"/>
  <c r="F54" i="3" s="1"/>
  <c r="F60" i="3" s="1"/>
  <c r="F66" i="3" s="1"/>
  <c r="J76" i="3" s="1"/>
  <c r="F20" i="3"/>
  <c r="F27" i="3" s="1"/>
  <c r="F34" i="3" s="1"/>
  <c r="F40" i="3" s="1"/>
  <c r="F46" i="3" s="1"/>
  <c r="F53" i="3" s="1"/>
  <c r="F59" i="3" s="1"/>
  <c r="F65" i="3" s="1"/>
  <c r="J75" i="3" s="1"/>
  <c r="E20" i="3"/>
  <c r="E27" i="3" s="1"/>
  <c r="D20" i="3"/>
  <c r="C20" i="3"/>
  <c r="B20" i="3"/>
  <c r="C19" i="3"/>
  <c r="E21" i="3" s="1"/>
  <c r="E28" i="3" s="1"/>
  <c r="E35" i="3" s="1"/>
  <c r="E41" i="3" s="1"/>
  <c r="E47" i="3" s="1"/>
  <c r="E54" i="3" s="1"/>
  <c r="E60" i="3" s="1"/>
  <c r="E66" i="3" s="1"/>
  <c r="G76" i="3" s="1"/>
  <c r="E29" i="2"/>
  <c r="E34" i="2" s="1"/>
  <c r="E24" i="2"/>
  <c r="D24" i="2"/>
  <c r="D29" i="2" s="1"/>
  <c r="D34" i="2" s="1"/>
  <c r="E40" i="2" s="1"/>
  <c r="E20" i="2"/>
  <c r="D20" i="2"/>
  <c r="C20" i="2"/>
  <c r="B20" i="2"/>
  <c r="C23" i="2" s="1"/>
  <c r="I23" i="2" s="1"/>
  <c r="D19" i="2"/>
  <c r="D25" i="2" s="1"/>
  <c r="D30" i="2" s="1"/>
  <c r="D35" i="2" s="1"/>
  <c r="E41" i="2" s="1"/>
  <c r="C19" i="2"/>
  <c r="C25" i="2" s="1"/>
  <c r="C30" i="2" s="1"/>
  <c r="C35" i="2" s="1"/>
  <c r="C41" i="2" s="1"/>
  <c r="B19" i="2"/>
  <c r="B25" i="2" s="1"/>
  <c r="B30" i="2" s="1"/>
  <c r="B35" i="2" s="1"/>
  <c r="E18" i="2"/>
  <c r="D18" i="2"/>
  <c r="C18" i="2"/>
  <c r="C24" i="2" s="1"/>
  <c r="C29" i="2" s="1"/>
  <c r="C34" i="2" s="1"/>
  <c r="C40" i="2" s="1"/>
  <c r="B18" i="2"/>
  <c r="B24" i="2" s="1"/>
  <c r="B29" i="2" s="1"/>
  <c r="B34" i="2" s="1"/>
  <c r="A40" i="2" s="1"/>
  <c r="C17" i="2"/>
  <c r="I17" i="2" s="1"/>
  <c r="E34" i="3" l="1"/>
  <c r="E40" i="3" s="1"/>
  <c r="E46" i="3" s="1"/>
  <c r="E53" i="3" s="1"/>
  <c r="E59" i="3" s="1"/>
  <c r="E65" i="3" s="1"/>
  <c r="G75" i="3" s="1"/>
  <c r="E29" i="3"/>
  <c r="E36" i="3" s="1"/>
  <c r="E42" i="3" s="1"/>
  <c r="F29" i="3"/>
  <c r="F36" i="3" s="1"/>
  <c r="F42" i="3" s="1"/>
  <c r="C33" i="3"/>
  <c r="I37" i="3" s="1"/>
  <c r="C29" i="3"/>
  <c r="C36" i="3" s="1"/>
  <c r="C42" i="3" s="1"/>
  <c r="I29" i="3"/>
  <c r="B21" i="3"/>
  <c r="B28" i="3" s="1"/>
  <c r="B35" i="3" s="1"/>
  <c r="B41" i="3" s="1"/>
  <c r="B47" i="3" s="1"/>
  <c r="B54" i="3" s="1"/>
  <c r="B60" i="3" s="1"/>
  <c r="B66" i="3" s="1"/>
  <c r="C21" i="3"/>
  <c r="C28" i="3" s="1"/>
  <c r="C35" i="3" s="1"/>
  <c r="C41" i="3" s="1"/>
  <c r="C47" i="3" s="1"/>
  <c r="C54" i="3" s="1"/>
  <c r="C60" i="3" s="1"/>
  <c r="C66" i="3" s="1"/>
  <c r="C76" i="3" s="1"/>
  <c r="D21" i="3"/>
  <c r="D28" i="3" s="1"/>
  <c r="D35" i="3" s="1"/>
  <c r="D41" i="3" s="1"/>
  <c r="D47" i="3" s="1"/>
  <c r="D54" i="3" s="1"/>
  <c r="D60" i="3" s="1"/>
  <c r="D66" i="3" s="1"/>
  <c r="E76" i="3" s="1"/>
  <c r="D26" i="2"/>
  <c r="D31" i="2" s="1"/>
  <c r="E26" i="2"/>
  <c r="E31" i="2" s="1"/>
  <c r="C26" i="2"/>
  <c r="C31" i="2" s="1"/>
  <c r="H40" i="2"/>
  <c r="E19" i="2"/>
  <c r="E25" i="2" s="1"/>
  <c r="E30" i="2" s="1"/>
  <c r="E35" i="2" s="1"/>
  <c r="B26" i="2"/>
  <c r="B31" i="2" s="1"/>
  <c r="E37" i="3" l="1"/>
  <c r="E43" i="3" s="1"/>
  <c r="E49" i="3" s="1"/>
  <c r="C45" i="3"/>
  <c r="F48" i="3"/>
  <c r="F55" i="3" s="1"/>
  <c r="F61" i="3" s="1"/>
  <c r="F67" i="3" s="1"/>
  <c r="J77" i="3" s="1"/>
  <c r="F37" i="3"/>
  <c r="F43" i="3" s="1"/>
  <c r="F49" i="3" s="1"/>
  <c r="C37" i="3"/>
  <c r="C43" i="3" s="1"/>
  <c r="C49" i="3" s="1"/>
  <c r="D37" i="3"/>
  <c r="D43" i="3" s="1"/>
  <c r="D49" i="3" s="1"/>
  <c r="B37" i="3"/>
  <c r="B43" i="3" s="1"/>
  <c r="B49" i="3" s="1"/>
  <c r="H41" i="2"/>
  <c r="C33" i="2"/>
  <c r="I33" i="2" s="1"/>
  <c r="D36" i="2"/>
  <c r="E42" i="2" s="1"/>
  <c r="C52" i="3" l="1"/>
  <c r="I56" i="3" s="1"/>
  <c r="C56" i="3"/>
  <c r="C62" i="3" s="1"/>
  <c r="I48" i="3"/>
  <c r="D48" i="3"/>
  <c r="D55" i="3" s="1"/>
  <c r="D61" i="3" s="1"/>
  <c r="D67" i="3" s="1"/>
  <c r="E77" i="3" s="1"/>
  <c r="B48" i="3"/>
  <c r="B55" i="3" s="1"/>
  <c r="B61" i="3" s="1"/>
  <c r="B67" i="3" s="1"/>
  <c r="C48" i="3"/>
  <c r="C55" i="3" s="1"/>
  <c r="C61" i="3" s="1"/>
  <c r="C67" i="3" s="1"/>
  <c r="E48" i="3"/>
  <c r="E55" i="3" s="1"/>
  <c r="E61" i="3" s="1"/>
  <c r="E67" i="3" s="1"/>
  <c r="G77" i="3" s="1"/>
  <c r="E56" i="3"/>
  <c r="E62" i="3" s="1"/>
  <c r="C36" i="2"/>
  <c r="E36" i="2"/>
  <c r="B36" i="2"/>
  <c r="B56" i="3" l="1"/>
  <c r="B62" i="3" s="1"/>
  <c r="F56" i="3"/>
  <c r="F62" i="3" s="1"/>
  <c r="D56" i="3"/>
  <c r="D62" i="3" s="1"/>
  <c r="K42" i="2"/>
  <c r="H42" i="2"/>
  <c r="C64" i="3" l="1"/>
  <c r="D68" i="3"/>
  <c r="B68" i="3"/>
  <c r="F68" i="3"/>
  <c r="J78" i="3" s="1"/>
  <c r="J8" i="2"/>
  <c r="K41" i="2"/>
  <c r="J7" i="2" s="1"/>
  <c r="I68" i="3" l="1"/>
  <c r="C68" i="3"/>
  <c r="E68" i="3"/>
  <c r="G78" i="3" s="1"/>
  <c r="L78" i="3" s="1"/>
  <c r="K40" i="2"/>
  <c r="J6" i="2" s="1"/>
  <c r="K6" i="2" s="1" a="1"/>
  <c r="K9" i="3" l="1"/>
  <c r="L77" i="3"/>
  <c r="K8" i="3" s="1"/>
  <c r="K8" i="2"/>
  <c r="K7" i="2"/>
  <c r="K6" i="2"/>
  <c r="L76" i="3" l="1"/>
  <c r="K7" i="3" s="1"/>
  <c r="M6" i="2"/>
  <c r="L6" i="2"/>
  <c r="M7" i="2"/>
  <c r="L7" i="2"/>
  <c r="M8" i="2"/>
  <c r="L8" i="2"/>
  <c r="L75" i="3" l="1"/>
  <c r="K6" i="3" s="1"/>
  <c r="L6" i="3" s="1" a="1"/>
  <c r="L6" i="3" l="1"/>
  <c r="L8" i="3"/>
  <c r="L7" i="3"/>
  <c r="L9" i="3"/>
  <c r="M9" i="3" l="1"/>
  <c r="N9" i="3"/>
  <c r="N7" i="3"/>
  <c r="M7" i="3"/>
  <c r="N8" i="3"/>
  <c r="M8" i="3"/>
  <c r="M6" i="3"/>
  <c r="N6" i="3"/>
</calcChain>
</file>

<file path=xl/sharedStrings.xml><?xml version="1.0" encoding="utf-8"?>
<sst xmlns="http://schemas.openxmlformats.org/spreadsheetml/2006/main" count="107" uniqueCount="38">
  <si>
    <t>Exercício 3</t>
  </si>
  <si>
    <t>Resolver o sistema abaixo pelo método de Gauss.</t>
  </si>
  <si>
    <r>
      <rPr>
        <b/>
        <sz val="12"/>
        <color rgb="FF009933"/>
        <rFont val="Liberation Sans"/>
      </rPr>
      <t>1</t>
    </r>
    <r>
      <rPr>
        <b/>
        <vertAlign val="superscript"/>
        <sz val="12"/>
        <color rgb="FF009933"/>
        <rFont val="Liberation Sans"/>
      </rPr>
      <t>a</t>
    </r>
    <r>
      <rPr>
        <b/>
        <sz val="12"/>
        <color rgb="FF009933"/>
        <rFont val="Liberation Sans"/>
      </rPr>
      <t xml:space="preserve"> etapa:</t>
    </r>
    <r>
      <rPr>
        <sz val="12"/>
        <color theme="1"/>
        <rFont val="Liberation Sans"/>
      </rPr>
      <t xml:space="preserve"> Matriz completa:</t>
    </r>
  </si>
  <si>
    <t>Verificação</t>
  </si>
  <si>
    <t>A</t>
  </si>
  <si>
    <t>B</t>
  </si>
  <si>
    <t>x</t>
  </si>
  <si>
    <t>x1</t>
  </si>
  <si>
    <t>M</t>
  </si>
  <si>
    <t>x2</t>
  </si>
  <si>
    <t>x3</t>
  </si>
  <si>
    <r>
      <rPr>
        <b/>
        <sz val="12"/>
        <color rgb="FF009933"/>
        <rFont val="Liberation Sans"/>
      </rPr>
      <t>2</t>
    </r>
    <r>
      <rPr>
        <b/>
        <vertAlign val="superscript"/>
        <sz val="12"/>
        <color rgb="FF009933"/>
        <rFont val="Liberation Sans"/>
      </rPr>
      <t>a</t>
    </r>
    <r>
      <rPr>
        <b/>
        <sz val="12"/>
        <color rgb="FF009933"/>
        <rFont val="Liberation Sans"/>
      </rPr>
      <t xml:space="preserve"> etapa:</t>
    </r>
    <r>
      <rPr>
        <sz val="12"/>
        <color rgb="FF009933"/>
        <rFont val="Liberation Sans"/>
      </rPr>
      <t xml:space="preserve"> </t>
    </r>
    <r>
      <rPr>
        <sz val="12"/>
        <color theme="1"/>
        <rFont val="Liberation Sans"/>
      </rPr>
      <t>Triangulação:</t>
    </r>
  </si>
  <si>
    <t>passo 1:</t>
  </si>
  <si>
    <r>
      <rPr>
        <b/>
        <sz val="12"/>
        <color rgb="FFFF6600"/>
        <rFont val="Liberation Sans"/>
      </rPr>
      <t>m</t>
    </r>
    <r>
      <rPr>
        <b/>
        <vertAlign val="subscript"/>
        <sz val="12"/>
        <color rgb="FFFF6600"/>
        <rFont val="Liberation Sans"/>
      </rPr>
      <t>21</t>
    </r>
    <r>
      <rPr>
        <sz val="6.8"/>
        <color theme="1"/>
        <rFont val="Liberation Sans"/>
      </rPr>
      <t xml:space="preserve"> = a</t>
    </r>
    <r>
      <rPr>
        <b/>
        <vertAlign val="subscript"/>
        <sz val="12"/>
        <color theme="1"/>
        <rFont val="Liberation Sans"/>
      </rPr>
      <t>21</t>
    </r>
    <r>
      <rPr>
        <sz val="6.8"/>
        <color theme="1"/>
        <rFont val="Liberation Sans"/>
      </rPr>
      <t xml:space="preserve"> /a</t>
    </r>
    <r>
      <rPr>
        <b/>
        <vertAlign val="subscript"/>
        <sz val="12"/>
        <color theme="1"/>
        <rFont val="Liberation Sans"/>
      </rPr>
      <t>11</t>
    </r>
  </si>
  <si>
    <t>m=</t>
  </si>
  <si>
    <t>E2 = E2 −</t>
  </si>
  <si>
    <t xml:space="preserve"> E1</t>
  </si>
  <si>
    <r>
      <rPr>
        <b/>
        <sz val="12"/>
        <color rgb="FFFF6600"/>
        <rFont val="Liberation Sans"/>
      </rPr>
      <t>m3</t>
    </r>
    <r>
      <rPr>
        <b/>
        <vertAlign val="subscript"/>
        <sz val="12"/>
        <color rgb="FFFF6600"/>
        <rFont val="Liberation Sans"/>
      </rPr>
      <t>1</t>
    </r>
    <r>
      <rPr>
        <b/>
        <sz val="12"/>
        <color theme="1"/>
        <rFont val="Liberation Sans"/>
      </rPr>
      <t xml:space="preserve"> = a</t>
    </r>
    <r>
      <rPr>
        <vertAlign val="subscript"/>
        <sz val="11"/>
        <color theme="1"/>
        <rFont val="Liberation Sans"/>
      </rPr>
      <t>3</t>
    </r>
    <r>
      <rPr>
        <b/>
        <vertAlign val="subscript"/>
        <sz val="12"/>
        <color theme="1"/>
        <rFont val="Liberation Sans"/>
      </rPr>
      <t>1</t>
    </r>
    <r>
      <rPr>
        <b/>
        <sz val="12"/>
        <color theme="1"/>
        <rFont val="Liberation Sans"/>
      </rPr>
      <t xml:space="preserve"> /a</t>
    </r>
    <r>
      <rPr>
        <b/>
        <vertAlign val="subscript"/>
        <sz val="12"/>
        <color theme="1"/>
        <rFont val="Liberation Sans"/>
      </rPr>
      <t>11</t>
    </r>
  </si>
  <si>
    <t>E3 = E3 −</t>
  </si>
  <si>
    <t>E1</t>
  </si>
  <si>
    <t>passo 2:</t>
  </si>
  <si>
    <r>
      <rPr>
        <b/>
        <sz val="12"/>
        <color rgb="FFFF6600"/>
        <rFont val="Liberation Sans"/>
      </rPr>
      <t>m</t>
    </r>
    <r>
      <rPr>
        <b/>
        <vertAlign val="subscript"/>
        <sz val="12"/>
        <color rgb="FFFF6600"/>
        <rFont val="Liberation Sans"/>
      </rPr>
      <t>32</t>
    </r>
    <r>
      <rPr>
        <sz val="6.8"/>
        <color theme="1"/>
        <rFont val="Liberation Sans"/>
      </rPr>
      <t xml:space="preserve"> = a'</t>
    </r>
    <r>
      <rPr>
        <b/>
        <vertAlign val="subscript"/>
        <sz val="12"/>
        <color theme="1"/>
        <rFont val="Liberation Sans"/>
      </rPr>
      <t>32</t>
    </r>
    <r>
      <rPr>
        <sz val="6.8"/>
        <color theme="1"/>
        <rFont val="Liberation Sans"/>
      </rPr>
      <t xml:space="preserve"> /a'</t>
    </r>
    <r>
      <rPr>
        <b/>
        <vertAlign val="subscript"/>
        <sz val="12"/>
        <color theme="1"/>
        <rFont val="Liberation Sans"/>
      </rPr>
      <t>22</t>
    </r>
  </si>
  <si>
    <t xml:space="preserve"> E2</t>
  </si>
  <si>
    <r>
      <rPr>
        <b/>
        <sz val="12"/>
        <color rgb="FF009933"/>
        <rFont val="Liberation Sans"/>
      </rPr>
      <t>3</t>
    </r>
    <r>
      <rPr>
        <b/>
        <vertAlign val="superscript"/>
        <sz val="12"/>
        <color rgb="FF009933"/>
        <rFont val="Liberation Sans"/>
      </rPr>
      <t>a</t>
    </r>
    <r>
      <rPr>
        <b/>
        <sz val="12"/>
        <color rgb="FF009933"/>
        <rFont val="Liberation Sans"/>
      </rPr>
      <t xml:space="preserve"> etapa</t>
    </r>
    <r>
      <rPr>
        <b/>
        <sz val="12"/>
        <color theme="1"/>
        <rFont val="Liberation Sans"/>
      </rPr>
      <t>:</t>
    </r>
    <r>
      <rPr>
        <sz val="12"/>
        <color theme="1"/>
        <rFont val="Liberation Sans"/>
      </rPr>
      <t xml:space="preserve"> Retro-substituição:</t>
    </r>
  </si>
  <si>
    <t>=</t>
  </si>
  <si>
    <t>x1=</t>
  </si>
  <si>
    <t>x2=</t>
  </si>
  <si>
    <t>x3=</t>
  </si>
  <si>
    <t>Exercício 4</t>
  </si>
  <si>
    <t>x4</t>
  </si>
  <si>
    <r>
      <rPr>
        <b/>
        <sz val="12"/>
        <color rgb="FFFF6600"/>
        <rFont val="Liberation Sans"/>
      </rPr>
      <t>m</t>
    </r>
    <r>
      <rPr>
        <b/>
        <vertAlign val="subscript"/>
        <sz val="12"/>
        <color rgb="FFFF6600"/>
        <rFont val="Liberation Sans"/>
      </rPr>
      <t>3</t>
    </r>
    <r>
      <rPr>
        <b/>
        <vertAlign val="subscript"/>
        <sz val="12"/>
        <color rgb="FFFF6600"/>
        <rFont val="Liberation Sans"/>
      </rPr>
      <t>1</t>
    </r>
    <r>
      <rPr>
        <b/>
        <sz val="12"/>
        <color theme="1"/>
        <rFont val="Liberation Sans"/>
      </rPr>
      <t xml:space="preserve"> = a</t>
    </r>
    <r>
      <rPr>
        <vertAlign val="subscript"/>
        <sz val="11"/>
        <color theme="1"/>
        <rFont val="Liberation Sans"/>
      </rPr>
      <t>3</t>
    </r>
    <r>
      <rPr>
        <b/>
        <vertAlign val="subscript"/>
        <sz val="12"/>
        <color theme="1"/>
        <rFont val="Liberation Sans"/>
      </rPr>
      <t>1</t>
    </r>
    <r>
      <rPr>
        <b/>
        <sz val="12"/>
        <color theme="1"/>
        <rFont val="Liberation Sans"/>
      </rPr>
      <t xml:space="preserve"> /a</t>
    </r>
    <r>
      <rPr>
        <b/>
        <vertAlign val="subscript"/>
        <sz val="12"/>
        <color theme="1"/>
        <rFont val="Liberation Sans"/>
      </rPr>
      <t>11</t>
    </r>
  </si>
  <si>
    <r>
      <rPr>
        <b/>
        <sz val="12"/>
        <color rgb="FFFF6600"/>
        <rFont val="Liberation Sans"/>
      </rPr>
      <t>m</t>
    </r>
    <r>
      <rPr>
        <b/>
        <vertAlign val="subscript"/>
        <sz val="12"/>
        <color rgb="FFFF6600"/>
        <rFont val="Liberation Sans"/>
      </rPr>
      <t>4</t>
    </r>
    <r>
      <rPr>
        <b/>
        <vertAlign val="subscript"/>
        <sz val="12"/>
        <color rgb="FFFF6600"/>
        <rFont val="Liberation Sans"/>
      </rPr>
      <t>1</t>
    </r>
    <r>
      <rPr>
        <b/>
        <sz val="12"/>
        <color theme="1"/>
        <rFont val="Liberation Sans"/>
      </rPr>
      <t xml:space="preserve"> = a</t>
    </r>
    <r>
      <rPr>
        <vertAlign val="subscript"/>
        <sz val="11"/>
        <color theme="1"/>
        <rFont val="Liberation Sans"/>
      </rPr>
      <t>4</t>
    </r>
    <r>
      <rPr>
        <b/>
        <vertAlign val="subscript"/>
        <sz val="12"/>
        <color theme="1"/>
        <rFont val="Liberation Sans"/>
      </rPr>
      <t>1</t>
    </r>
    <r>
      <rPr>
        <b/>
        <sz val="12"/>
        <color theme="1"/>
        <rFont val="Liberation Sans"/>
      </rPr>
      <t xml:space="preserve"> /a</t>
    </r>
    <r>
      <rPr>
        <b/>
        <vertAlign val="subscript"/>
        <sz val="12"/>
        <color theme="1"/>
        <rFont val="Liberation Sans"/>
      </rPr>
      <t>11</t>
    </r>
  </si>
  <si>
    <t>E4 = E4 −</t>
  </si>
  <si>
    <r>
      <rPr>
        <b/>
        <sz val="12"/>
        <color rgb="FFFF6600"/>
        <rFont val="Liberation Sans"/>
      </rPr>
      <t>m</t>
    </r>
    <r>
      <rPr>
        <b/>
        <vertAlign val="subscript"/>
        <sz val="12"/>
        <color rgb="FFFF6600"/>
        <rFont val="Liberation Sans"/>
      </rPr>
      <t>42</t>
    </r>
    <r>
      <rPr>
        <sz val="6.8"/>
        <color theme="1"/>
        <rFont val="Liberation Sans"/>
      </rPr>
      <t xml:space="preserve"> = a'</t>
    </r>
    <r>
      <rPr>
        <b/>
        <vertAlign val="subscript"/>
        <sz val="12"/>
        <color theme="1"/>
        <rFont val="Liberation Sans"/>
      </rPr>
      <t>42</t>
    </r>
    <r>
      <rPr>
        <sz val="6.8"/>
        <color theme="1"/>
        <rFont val="Liberation Sans"/>
      </rPr>
      <t xml:space="preserve"> /a'</t>
    </r>
    <r>
      <rPr>
        <b/>
        <vertAlign val="subscript"/>
        <sz val="12"/>
        <color theme="1"/>
        <rFont val="Liberation Sans"/>
      </rPr>
      <t>22</t>
    </r>
  </si>
  <si>
    <t>passo 3:</t>
  </si>
  <si>
    <r>
      <rPr>
        <b/>
        <sz val="12"/>
        <color rgb="FFFF6600"/>
        <rFont val="Liberation Sans"/>
      </rPr>
      <t>m</t>
    </r>
    <r>
      <rPr>
        <b/>
        <vertAlign val="subscript"/>
        <sz val="12"/>
        <color rgb="FFFF6600"/>
        <rFont val="Liberation Sans"/>
      </rPr>
      <t>43</t>
    </r>
    <r>
      <rPr>
        <sz val="6.8"/>
        <color theme="1"/>
        <rFont val="Liberation Sans"/>
      </rPr>
      <t xml:space="preserve"> = a'</t>
    </r>
    <r>
      <rPr>
        <b/>
        <vertAlign val="subscript"/>
        <sz val="12"/>
        <color theme="1"/>
        <rFont val="Liberation Sans"/>
      </rPr>
      <t>43</t>
    </r>
    <r>
      <rPr>
        <sz val="6.8"/>
        <color theme="1"/>
        <rFont val="Liberation Sans"/>
      </rPr>
      <t xml:space="preserve"> /a'</t>
    </r>
    <r>
      <rPr>
        <b/>
        <vertAlign val="subscript"/>
        <sz val="12"/>
        <color theme="1"/>
        <rFont val="Liberation Sans"/>
      </rPr>
      <t>33</t>
    </r>
  </si>
  <si>
    <t xml:space="preserve"> E3</t>
  </si>
  <si>
    <t>x4=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</si>
</sst>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1"/>
      <color theme="1"/>
      <name val="Calibri"/>
      <family val="2"/>
      <scheme val="minor"/>
    </font>
    <font>
      <sz val="11"/>
      <color theme="1"/>
      <name val="Liberation Sans"/>
    </font>
    <font>
      <b/>
      <sz val="12"/>
      <color rgb="FF000099"/>
      <name val="Liberation Sans2"/>
    </font>
    <font>
      <sz val="12"/>
      <color theme="1"/>
      <name val="Liberation Sans2"/>
    </font>
    <font>
      <sz val="12"/>
      <color rgb="FF000000"/>
      <name val="Liberation Sans2"/>
    </font>
    <font>
      <sz val="12"/>
      <color theme="1"/>
      <name val="Liberation Sans1"/>
    </font>
    <font>
      <b/>
      <sz val="12"/>
      <color rgb="FF009933"/>
      <name val="Liberation Sans"/>
    </font>
    <font>
      <b/>
      <vertAlign val="superscript"/>
      <sz val="12"/>
      <color rgb="FF009933"/>
      <name val="Liberation Sans"/>
    </font>
    <font>
      <sz val="12"/>
      <color theme="1"/>
      <name val="Liberation Sans"/>
    </font>
    <font>
      <b/>
      <sz val="12"/>
      <color theme="1"/>
      <name val="Liberation Sans2"/>
    </font>
    <font>
      <b/>
      <sz val="12"/>
      <color theme="1"/>
      <name val="Liberation Sans"/>
    </font>
    <font>
      <b/>
      <sz val="12"/>
      <color rgb="FF0000CC"/>
      <name val="Liberation Sans2"/>
    </font>
    <font>
      <sz val="12"/>
      <color rgb="FF009933"/>
      <name val="Liberation Sans"/>
    </font>
    <font>
      <sz val="6.8"/>
      <color theme="1"/>
      <name val="Liberation Sans"/>
    </font>
    <font>
      <b/>
      <sz val="12"/>
      <color rgb="FFFF6600"/>
      <name val="Liberation Sans"/>
    </font>
    <font>
      <b/>
      <vertAlign val="subscript"/>
      <sz val="12"/>
      <color rgb="FFFF6600"/>
      <name val="Liberation Sans"/>
    </font>
    <font>
      <b/>
      <vertAlign val="subscript"/>
      <sz val="12"/>
      <color theme="1"/>
      <name val="Liberation Sans"/>
    </font>
    <font>
      <vertAlign val="subscript"/>
      <sz val="11"/>
      <color theme="1"/>
      <name val="Liberation Sans"/>
    </font>
    <font>
      <b/>
      <sz val="12"/>
      <color rgb="FF0000CC"/>
      <name val="Liberation Sans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CFE7F5"/>
        <bgColor rgb="FFCFE7F5"/>
      </patternFill>
    </fill>
    <fill>
      <patternFill patternType="solid">
        <fgColor rgb="FFDDDDDD"/>
        <bgColor rgb="FFDDDDDD"/>
      </patternFill>
    </fill>
    <fill>
      <patternFill patternType="solid">
        <fgColor rgb="FFFF9900"/>
        <bgColor rgb="FFFF9900"/>
      </patternFill>
    </fill>
    <fill>
      <patternFill patternType="solid">
        <fgColor rgb="FFFFCC00"/>
        <bgColor rgb="FFFFCC00"/>
      </patternFill>
    </fill>
    <fill>
      <patternFill patternType="solid">
        <fgColor rgb="FFCCFF99"/>
        <bgColor rgb="FFCCFF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6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/>
    <xf numFmtId="0" fontId="1" fillId="0" borderId="0" xfId="1"/>
    <xf numFmtId="0" fontId="1" fillId="0" borderId="0" xfId="1"/>
    <xf numFmtId="0" fontId="5" fillId="0" borderId="0" xfId="1" applyFont="1" applyAlignment="1">
      <alignment horizontal="left"/>
    </xf>
    <xf numFmtId="0" fontId="9" fillId="0" borderId="0" xfId="1" applyFont="1"/>
    <xf numFmtId="0" fontId="10" fillId="0" borderId="0" xfId="1" applyFont="1" applyAlignment="1">
      <alignment horizontal="center"/>
    </xf>
    <xf numFmtId="0" fontId="3" fillId="2" borderId="1" xfId="1" applyFont="1" applyFill="1" applyBorder="1"/>
    <xf numFmtId="0" fontId="3" fillId="3" borderId="1" xfId="1" applyFont="1" applyFill="1" applyBorder="1"/>
    <xf numFmtId="0" fontId="9" fillId="0" borderId="0" xfId="1" applyFont="1" applyAlignment="1">
      <alignment horizontal="center"/>
    </xf>
    <xf numFmtId="0" fontId="11" fillId="0" borderId="0" xfId="1" applyFont="1"/>
    <xf numFmtId="1" fontId="11" fillId="0" borderId="0" xfId="1" applyNumberFormat="1" applyFont="1"/>
    <xf numFmtId="0" fontId="10" fillId="4" borderId="0" xfId="1" applyFont="1" applyFill="1"/>
    <xf numFmtId="0" fontId="1" fillId="4" borderId="0" xfId="1" applyFill="1"/>
    <xf numFmtId="0" fontId="3" fillId="4" borderId="0" xfId="1" applyFont="1" applyFill="1"/>
    <xf numFmtId="0" fontId="3" fillId="5" borderId="1" xfId="1" applyFont="1" applyFill="1" applyBorder="1"/>
    <xf numFmtId="0" fontId="13" fillId="0" borderId="0" xfId="1" applyFont="1" applyAlignment="1">
      <alignment horizontal="left"/>
    </xf>
    <xf numFmtId="0" fontId="14" fillId="0" borderId="0" xfId="1" applyFont="1" applyAlignment="1">
      <alignment horizontal="left"/>
    </xf>
    <xf numFmtId="0" fontId="3" fillId="6" borderId="0" xfId="1" applyFont="1" applyFill="1"/>
    <xf numFmtId="0" fontId="10" fillId="0" borderId="0" xfId="1" applyFont="1" applyAlignment="1">
      <alignment horizontal="left"/>
    </xf>
    <xf numFmtId="0" fontId="3" fillId="7" borderId="1" xfId="1" applyFont="1" applyFill="1" applyBorder="1"/>
    <xf numFmtId="11" fontId="9" fillId="0" borderId="0" xfId="1" applyNumberFormat="1" applyFont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9" fillId="5" borderId="1" xfId="1" applyFont="1" applyFill="1" applyBorder="1"/>
    <xf numFmtId="0" fontId="2" fillId="0" borderId="0" xfId="2" applyFont="1"/>
    <xf numFmtId="0" fontId="3" fillId="0" borderId="0" xfId="2" applyFont="1"/>
    <xf numFmtId="0" fontId="4" fillId="0" borderId="0" xfId="2" applyFont="1"/>
    <xf numFmtId="0" fontId="1" fillId="0" borderId="0" xfId="2"/>
    <xf numFmtId="0" fontId="1" fillId="0" borderId="0" xfId="2"/>
    <xf numFmtId="0" fontId="5" fillId="0" borderId="0" xfId="2" applyFont="1" applyAlignment="1">
      <alignment horizontal="left"/>
    </xf>
    <xf numFmtId="0" fontId="9" fillId="0" borderId="0" xfId="2" applyFont="1"/>
    <xf numFmtId="0" fontId="10" fillId="0" borderId="0" xfId="2" applyFont="1" applyAlignment="1">
      <alignment horizontal="center"/>
    </xf>
    <xf numFmtId="0" fontId="3" fillId="2" borderId="1" xfId="2" applyFont="1" applyFill="1" applyBorder="1"/>
    <xf numFmtId="0" fontId="3" fillId="3" borderId="1" xfId="2" applyFont="1" applyFill="1" applyBorder="1"/>
    <xf numFmtId="0" fontId="9" fillId="0" borderId="0" xfId="2" applyFont="1" applyAlignment="1">
      <alignment horizontal="center"/>
    </xf>
    <xf numFmtId="0" fontId="11" fillId="0" borderId="0" xfId="2" applyFont="1"/>
    <xf numFmtId="164" fontId="11" fillId="0" borderId="0" xfId="2" applyNumberFormat="1" applyFont="1"/>
    <xf numFmtId="0" fontId="18" fillId="0" borderId="0" xfId="2" applyFont="1"/>
    <xf numFmtId="0" fontId="10" fillId="4" borderId="0" xfId="2" applyFont="1" applyFill="1"/>
    <xf numFmtId="0" fontId="1" fillId="4" borderId="0" xfId="2" applyFill="1"/>
    <xf numFmtId="0" fontId="3" fillId="4" borderId="0" xfId="2" applyFont="1" applyFill="1"/>
    <xf numFmtId="0" fontId="3" fillId="6" borderId="1" xfId="2" applyFont="1" applyFill="1" applyBorder="1"/>
    <xf numFmtId="0" fontId="13" fillId="0" borderId="0" xfId="2" applyFont="1" applyAlignment="1">
      <alignment horizontal="left"/>
    </xf>
    <xf numFmtId="0" fontId="14" fillId="0" borderId="0" xfId="2" applyFont="1" applyAlignment="1">
      <alignment horizontal="left"/>
    </xf>
    <xf numFmtId="0" fontId="3" fillId="6" borderId="0" xfId="2" applyFont="1" applyFill="1"/>
    <xf numFmtId="0" fontId="3" fillId="7" borderId="1" xfId="2" applyFont="1" applyFill="1" applyBorder="1"/>
    <xf numFmtId="0" fontId="10" fillId="0" borderId="0" xfId="2" applyFont="1" applyAlignment="1">
      <alignment horizontal="left"/>
    </xf>
    <xf numFmtId="11" fontId="9" fillId="0" borderId="0" xfId="2" applyNumberFormat="1" applyFont="1"/>
    <xf numFmtId="0" fontId="3" fillId="5" borderId="1" xfId="2" applyFont="1" applyFill="1" applyBorder="1"/>
    <xf numFmtId="0" fontId="1" fillId="3" borderId="0" xfId="2" applyFill="1"/>
    <xf numFmtId="0" fontId="3" fillId="0" borderId="0" xfId="2" applyFont="1" applyAlignment="1">
      <alignment horizontal="left"/>
    </xf>
    <xf numFmtId="0" fontId="3" fillId="0" borderId="0" xfId="2" applyFont="1" applyAlignment="1">
      <alignment horizontal="center"/>
    </xf>
    <xf numFmtId="0" fontId="9" fillId="5" borderId="1" xfId="2" applyFont="1" applyFill="1" applyBorder="1"/>
  </cellXfs>
  <cellStyles count="3">
    <cellStyle name="Normal" xfId="0" builtinId="0"/>
    <cellStyle name="Normal 2" xfId="1" xr:uid="{224D47F4-9D30-496B-AF3B-8B7C42A39270}"/>
    <cellStyle name="Normal 3" xfId="2" xr:uid="{2F42AE4A-6806-432C-990A-199A0291EF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190440"/>
    <xdr:ext cx="1624680" cy="64908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A290D554-3CEC-4FDE-87B3-79AD4BFA24C3}"/>
                </a:ext>
              </a:extLst>
            </xdr:cNvPr>
            <xdr:cNvSpPr txBox="1">
              <a:spLocks noResize="1"/>
            </xdr:cNvSpPr>
          </xdr:nvSpPr>
          <xdr:spPr>
            <a:xfrm>
              <a:off x="0" y="190440"/>
              <a:ext cx="1624680" cy="649080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rtl="0" hangingPunct="0">
                <a:buNone/>
                <a:tabLst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pt-BR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m>
                          <m:mPr>
                            <m:plcHide m:val="on"/>
                            <m:mcs>
                              <m:mc>
                                <m:mcPr>
                                  <m:count m:val="1"/>
                                  <m:mcJc m:val="center"/>
                                </m:mcPr>
                              </m:mc>
                            </m:mcs>
                            <m:ctrlPr>
                              <a:rPr lang="pt-BR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mPr>
                          <m:mr>
                            <m:e>
                              <m:r>
                                <a:rPr lang="pt-BR">
                                  <a:latin typeface="Cambria Math" panose="02040503050406030204" pitchFamily="18" charset="0"/>
                                </a:rPr>
                                <m:t>0,25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+0,5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=0,25</m:t>
                              </m:r>
                            </m:e>
                          </m:mr>
                          <m:mr>
                            <m:e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0,09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+0,3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=0,49</m:t>
                              </m:r>
                            </m:e>
                          </m:mr>
                          <m:mr>
                            <m:e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0,01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+0,1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=0,81</m:t>
                              </m:r>
                            </m:e>
                          </m:mr>
                        </m:m>
                      </m:e>
                    </m:d>
                  </m:oMath>
                </m:oMathPara>
              </a14:m>
              <a:endParaRPr lang="pt-BR">
                <a:latin typeface="Liberation Serif" pitchFamily="18"/>
              </a:endParaRPr>
            </a:p>
          </xdr:txBody>
        </xdr:sp>
      </mc:Choice>
      <mc:Fallback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A290D554-3CEC-4FDE-87B3-79AD4BFA24C3}"/>
                </a:ext>
              </a:extLst>
            </xdr:cNvPr>
            <xdr:cNvSpPr txBox="1">
              <a:spLocks noResize="1"/>
            </xdr:cNvSpPr>
          </xdr:nvSpPr>
          <xdr:spPr>
            <a:xfrm>
              <a:off x="0" y="190440"/>
              <a:ext cx="1624680" cy="649080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rtl="0" hangingPunct="0">
                <a:buNone/>
                <a:tabLst/>
              </a:pP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{■(</a:t>
              </a:r>
              <a:r>
                <a:rPr lang="pt-BR" i="0">
                  <a:latin typeface="Cambria Math" panose="02040503050406030204" pitchFamily="18" charset="0"/>
                </a:rPr>
                <a:t>0,25𝑥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1+0,5𝑥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2+𝑥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3=0,25@0,09𝑥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1+0,3𝑥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2+𝑥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3=0,49@0,01𝑥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1+0,1𝑥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2+𝑥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3=0,81)┤</a:t>
              </a:r>
              <a:endParaRPr lang="pt-BR">
                <a:latin typeface="Liberation Serif" pitchFamily="18"/>
              </a:endParaRPr>
            </a:p>
          </xdr:txBody>
        </xdr:sp>
      </mc:Fallback>
    </mc:AlternateContent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190440"/>
    <xdr:ext cx="2032199" cy="8676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DB979D00-4789-44C0-9E03-0687681D283A}"/>
                </a:ext>
              </a:extLst>
            </xdr:cNvPr>
            <xdr:cNvSpPr txBox="1">
              <a:spLocks noResize="1"/>
            </xdr:cNvSpPr>
          </xdr:nvSpPr>
          <xdr:spPr>
            <a:xfrm>
              <a:off x="0" y="190440"/>
              <a:ext cx="2032199" cy="867600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rtl="0" hangingPunct="0">
                <a:buNone/>
                <a:tabLst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pt-BR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m>
                          <m:mPr>
                            <m:plcHide m:val="on"/>
                            <m:mcs>
                              <m:mc>
                                <m:mcPr>
                                  <m:count m:val="1"/>
                                  <m:mcJc m:val="center"/>
                                </m:mcPr>
                              </m:mc>
                            </m:mcs>
                            <m:ctrlPr>
                              <a:rPr lang="pt-BR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mPr>
                          <m:mr>
                            <m:e>
                              <m:r>
                                <a:rPr lang="pt-BR">
                                  <a:latin typeface="Cambria Math" panose="02040503050406030204" pitchFamily="18" charset="0"/>
                                </a:rPr>
                                <m:t>4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−2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−3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+6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4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=12</m:t>
                              </m:r>
                            </m:e>
                          </m:mr>
                          <m:mr>
                            <m:e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−6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+7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+6,5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−6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4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=−6,5</m:t>
                              </m:r>
                            </m:e>
                          </m:mr>
                          <m:mr>
                            <m:e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+7,5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+6,25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+5,5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4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=16</m:t>
                              </m:r>
                            </m:e>
                          </m:mr>
                          <m:mr>
                            <m:e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−12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+22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+15,5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−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4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=17</m:t>
                              </m:r>
                            </m:e>
                          </m:mr>
                        </m:m>
                      </m:e>
                    </m:d>
                  </m:oMath>
                </m:oMathPara>
              </a14:m>
              <a:endParaRPr lang="pt-BR">
                <a:latin typeface="Liberation Serif" pitchFamily="18"/>
              </a:endParaRPr>
            </a:p>
          </xdr:txBody>
        </xdr:sp>
      </mc:Choice>
      <mc:Fallback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DB979D00-4789-44C0-9E03-0687681D283A}"/>
                </a:ext>
              </a:extLst>
            </xdr:cNvPr>
            <xdr:cNvSpPr txBox="1">
              <a:spLocks noResize="1"/>
            </xdr:cNvSpPr>
          </xdr:nvSpPr>
          <xdr:spPr>
            <a:xfrm>
              <a:off x="0" y="190440"/>
              <a:ext cx="2032199" cy="867600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rtl="0" hangingPunct="0">
                <a:buNone/>
                <a:tabLst/>
              </a:pP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{■(</a:t>
              </a:r>
              <a:r>
                <a:rPr lang="pt-BR" i="0">
                  <a:latin typeface="Cambria Math" panose="02040503050406030204" pitchFamily="18" charset="0"/>
                </a:rPr>
                <a:t>4𝑥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1−2𝑥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2−3𝑥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3+6𝑥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4=12@−6𝑥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1+7𝑥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2+6,5𝑥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3−6𝑥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4=−6,5@𝑥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1+7,5𝑥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2+6,25𝑥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3+5,5𝑥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4=16@−12𝑥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1+22𝑥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2+15,5𝑥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3−𝑥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4=17)┤</a:t>
              </a:r>
              <a:endParaRPr lang="pt-BR">
                <a:latin typeface="Liberation Serif" pitchFamily="18"/>
              </a:endParaRPr>
            </a:p>
          </xdr:txBody>
        </xdr:sp>
      </mc:Fallback>
    </mc:AlternateContent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DB2B9-773D-44D8-AE73-F10D2C4CFA5E}">
  <dimension ref="A1:M43"/>
  <sheetViews>
    <sheetView zoomScale="85" zoomScaleNormal="85" workbookViewId="0">
      <selection activeCell="N26" sqref="N26"/>
    </sheetView>
  </sheetViews>
  <sheetFormatPr defaultRowHeight="14.25"/>
  <cols>
    <col min="1" max="1" width="7.5703125" style="4" customWidth="1"/>
    <col min="2" max="2" width="6.28515625" style="4" customWidth="1"/>
    <col min="3" max="3" width="6.42578125" style="4" customWidth="1"/>
    <col min="4" max="4" width="7.140625" style="4" customWidth="1"/>
    <col min="5" max="5" width="6.7109375" style="4" customWidth="1"/>
    <col min="6" max="6" width="5.140625" style="4" customWidth="1"/>
    <col min="7" max="7" width="6.28515625" style="4" customWidth="1"/>
    <col min="8" max="8" width="7.140625" style="4" customWidth="1"/>
    <col min="9" max="9" width="6.5703125" style="4" customWidth="1"/>
    <col min="10" max="10" width="12.140625" style="4" customWidth="1"/>
    <col min="11" max="11" width="9.7109375" style="4" customWidth="1"/>
    <col min="12" max="12" width="8.28515625" style="4" customWidth="1"/>
    <col min="13" max="13" width="12.140625" style="4" customWidth="1"/>
    <col min="14" max="16384" width="9.140625" style="4"/>
  </cols>
  <sheetData>
    <row r="1" spans="1:13" ht="15.75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</row>
    <row r="2" spans="1:13" ht="52.35" customHeight="1">
      <c r="A2" s="5"/>
      <c r="B2" s="5"/>
      <c r="C2" s="5"/>
      <c r="D2" s="2"/>
      <c r="E2" s="2"/>
      <c r="F2" s="2"/>
      <c r="G2" s="2"/>
      <c r="H2" s="2"/>
      <c r="I2" s="2"/>
      <c r="J2" s="2"/>
    </row>
    <row r="3" spans="1:13" ht="15">
      <c r="F3" s="2"/>
      <c r="G3" s="2"/>
      <c r="H3" s="2"/>
      <c r="I3" s="2"/>
      <c r="J3" s="2"/>
    </row>
    <row r="4" spans="1:13" ht="18.75">
      <c r="A4" s="6" t="s">
        <v>2</v>
      </c>
      <c r="F4" s="2"/>
      <c r="G4" s="2"/>
      <c r="H4" s="2"/>
      <c r="I4" s="2"/>
      <c r="J4" s="2" t="s">
        <v>3</v>
      </c>
      <c r="K4" s="2"/>
    </row>
    <row r="5" spans="1:13" ht="15.75">
      <c r="A5" s="2"/>
      <c r="B5" s="2"/>
      <c r="C5" s="7" t="s">
        <v>4</v>
      </c>
      <c r="D5" s="7"/>
      <c r="E5" s="7" t="s">
        <v>5</v>
      </c>
      <c r="F5" s="2"/>
      <c r="G5" s="2"/>
      <c r="H5" s="2"/>
      <c r="I5" s="2"/>
      <c r="J5" s="8" t="s">
        <v>6</v>
      </c>
      <c r="K5" s="2"/>
    </row>
    <row r="6" spans="1:13" ht="15.75">
      <c r="A6" s="2"/>
      <c r="B6" s="9">
        <v>0.25</v>
      </c>
      <c r="C6" s="9">
        <v>0.5</v>
      </c>
      <c r="D6" s="9">
        <v>1</v>
      </c>
      <c r="E6" s="10">
        <v>0.25</v>
      </c>
      <c r="F6" s="2"/>
      <c r="G6" s="2"/>
      <c r="H6" s="2"/>
      <c r="I6" s="2" t="s">
        <v>7</v>
      </c>
      <c r="J6" s="11">
        <f>K40</f>
        <v>1.0000000000000009</v>
      </c>
      <c r="K6" s="12">
        <f t="array" ref="K6:K8">MMULT(B6:D8,J6:J8)</f>
        <v>0.25</v>
      </c>
      <c r="L6" s="4" t="str">
        <f>IF(K6=E6,"OK","!!!")</f>
        <v>OK</v>
      </c>
      <c r="M6" s="4" t="str">
        <f>IF(ABS(E6-K6)&lt;0.05,"OK","!!!")</f>
        <v>OK</v>
      </c>
    </row>
    <row r="7" spans="1:13" ht="15.75">
      <c r="A7" s="7" t="s">
        <v>8</v>
      </c>
      <c r="B7" s="9">
        <v>0.09</v>
      </c>
      <c r="C7" s="9">
        <v>0.3</v>
      </c>
      <c r="D7" s="9">
        <v>1</v>
      </c>
      <c r="E7" s="10">
        <v>0.49</v>
      </c>
      <c r="F7" s="2"/>
      <c r="G7" s="2"/>
      <c r="H7" s="2"/>
      <c r="I7" s="2" t="s">
        <v>9</v>
      </c>
      <c r="J7" s="11">
        <f>K41</f>
        <v>-2.0000000000000009</v>
      </c>
      <c r="K7" s="13">
        <v>0.4900000000000001</v>
      </c>
      <c r="L7" s="4" t="str">
        <f>IF(K7=E7,"OK","!!!")</f>
        <v>OK</v>
      </c>
      <c r="M7" s="4" t="str">
        <f>IF(ABS(E7-K7)&lt;0.05,"OK","!!!")</f>
        <v>OK</v>
      </c>
    </row>
    <row r="8" spans="1:13" ht="15.75">
      <c r="A8" s="2"/>
      <c r="B8" s="9">
        <v>0.01</v>
      </c>
      <c r="C8" s="9">
        <v>0.1</v>
      </c>
      <c r="D8" s="9">
        <v>1</v>
      </c>
      <c r="E8" s="10">
        <v>0.81</v>
      </c>
      <c r="F8" s="2"/>
      <c r="G8" s="2"/>
      <c r="H8" s="2"/>
      <c r="I8" s="2" t="s">
        <v>10</v>
      </c>
      <c r="J8" s="11">
        <f>K42</f>
        <v>1.0000000000000002</v>
      </c>
      <c r="K8" s="12">
        <v>0.81000000000000016</v>
      </c>
      <c r="L8" s="4" t="str">
        <f>IF(K8=E8,"OK","!!!")</f>
        <v>OK</v>
      </c>
      <c r="M8" s="4" t="str">
        <f>IF(ABS(E8-K8)&lt;0.05,"OK","!!!")</f>
        <v>OK</v>
      </c>
    </row>
    <row r="9" spans="1:13" ht="15">
      <c r="A9" s="2"/>
      <c r="B9" s="2"/>
      <c r="C9" s="2"/>
      <c r="D9" s="2"/>
      <c r="E9" s="2"/>
      <c r="F9" s="2"/>
      <c r="G9" s="2"/>
      <c r="H9" s="2"/>
    </row>
    <row r="10" spans="1:13" ht="18.75">
      <c r="A10" s="6" t="s">
        <v>11</v>
      </c>
      <c r="B10" s="2"/>
      <c r="C10" s="2"/>
      <c r="D10" s="2"/>
      <c r="E10" s="2"/>
      <c r="F10" s="2"/>
      <c r="G10" s="2"/>
      <c r="H10" s="2"/>
      <c r="I10" s="2"/>
      <c r="J10" s="2"/>
    </row>
    <row r="11" spans="1:13" ht="1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3" ht="15.75">
      <c r="A12" s="14" t="s">
        <v>12</v>
      </c>
      <c r="B12" s="15"/>
      <c r="C12" s="15"/>
      <c r="D12" s="15"/>
      <c r="E12" s="15"/>
      <c r="F12" s="16"/>
      <c r="G12" s="16"/>
      <c r="H12" s="16"/>
      <c r="I12" s="16"/>
      <c r="J12" s="2"/>
    </row>
    <row r="13" spans="1:13" ht="15.75">
      <c r="A13" s="14"/>
      <c r="B13" s="17">
        <v>0.25</v>
      </c>
      <c r="C13" s="9">
        <v>0.5</v>
      </c>
      <c r="D13" s="9">
        <v>1</v>
      </c>
      <c r="E13" s="10">
        <v>0.25</v>
      </c>
      <c r="F13" s="16"/>
      <c r="G13" s="16"/>
      <c r="H13" s="16"/>
      <c r="I13" s="16"/>
      <c r="J13" s="2"/>
    </row>
    <row r="14" spans="1:13" ht="15.75">
      <c r="A14" s="14"/>
      <c r="B14" s="9">
        <v>0.09</v>
      </c>
      <c r="C14" s="9">
        <v>0.3</v>
      </c>
      <c r="D14" s="9">
        <v>1</v>
      </c>
      <c r="E14" s="10">
        <v>0.49</v>
      </c>
      <c r="F14" s="16"/>
      <c r="G14" s="16"/>
      <c r="H14" s="16"/>
      <c r="I14" s="16"/>
      <c r="J14" s="2"/>
    </row>
    <row r="15" spans="1:13" ht="15.75">
      <c r="A15" s="14"/>
      <c r="B15" s="9">
        <v>0.01</v>
      </c>
      <c r="C15" s="9">
        <v>0.1</v>
      </c>
      <c r="D15" s="9">
        <v>1</v>
      </c>
      <c r="E15" s="10">
        <v>0.81</v>
      </c>
      <c r="F15" s="16"/>
      <c r="G15" s="16"/>
      <c r="H15" s="16"/>
      <c r="I15" s="16"/>
      <c r="J15" s="2"/>
    </row>
    <row r="16" spans="1:13" ht="18.75">
      <c r="B16" s="18" t="s">
        <v>13</v>
      </c>
      <c r="C16" s="2"/>
      <c r="D16" s="2"/>
      <c r="F16" s="2"/>
      <c r="H16" s="2"/>
      <c r="I16" s="2"/>
      <c r="J16" s="2"/>
    </row>
    <row r="17" spans="1:10" ht="15.75">
      <c r="B17" s="19" t="s">
        <v>14</v>
      </c>
      <c r="C17" s="20">
        <f>B7/B6</f>
        <v>0.36</v>
      </c>
      <c r="D17" s="2"/>
      <c r="F17" s="2"/>
      <c r="G17" s="21" t="s">
        <v>15</v>
      </c>
      <c r="H17" s="2"/>
      <c r="I17" s="2">
        <f>C17</f>
        <v>0.36</v>
      </c>
      <c r="J17" s="7" t="s">
        <v>16</v>
      </c>
    </row>
    <row r="18" spans="1:10" ht="15">
      <c r="A18" s="2"/>
      <c r="B18" s="9">
        <f>B13</f>
        <v>0.25</v>
      </c>
      <c r="C18" s="9">
        <f>C13</f>
        <v>0.5</v>
      </c>
      <c r="D18" s="9">
        <f>D13</f>
        <v>1</v>
      </c>
      <c r="E18" s="9">
        <f>E13</f>
        <v>0.25</v>
      </c>
      <c r="F18" s="2"/>
      <c r="G18" s="2"/>
      <c r="H18" s="2"/>
      <c r="I18" s="2"/>
      <c r="J18" s="2"/>
    </row>
    <row r="19" spans="1:10" ht="15.75">
      <c r="A19" s="7" t="s">
        <v>8</v>
      </c>
      <c r="B19" s="22">
        <f>B14-B13*$C$17</f>
        <v>0</v>
      </c>
      <c r="C19" s="22">
        <f>C14-C13*$C$17</f>
        <v>0.12</v>
      </c>
      <c r="D19" s="22">
        <f>D14-D13*$C$17</f>
        <v>0.64</v>
      </c>
      <c r="E19" s="22">
        <f>E14-E13*$C$17</f>
        <v>0.4</v>
      </c>
      <c r="F19" s="2"/>
      <c r="G19" s="2"/>
      <c r="H19" s="2"/>
      <c r="I19" s="2"/>
      <c r="J19" s="2"/>
    </row>
    <row r="20" spans="1:10" ht="15">
      <c r="A20" s="2"/>
      <c r="B20" s="9">
        <f>B15</f>
        <v>0.01</v>
      </c>
      <c r="C20" s="9">
        <f>C15</f>
        <v>0.1</v>
      </c>
      <c r="D20" s="9">
        <f>D15</f>
        <v>1</v>
      </c>
      <c r="E20" s="9">
        <f>E15</f>
        <v>0.81</v>
      </c>
      <c r="F20" s="2"/>
      <c r="G20" s="2"/>
      <c r="H20" s="2"/>
      <c r="I20" s="2"/>
      <c r="J20" s="2"/>
    </row>
    <row r="21" spans="1:10" ht="1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8.75">
      <c r="A22" s="2"/>
      <c r="B22" s="21" t="s">
        <v>17</v>
      </c>
      <c r="C22" s="2"/>
      <c r="D22" s="2"/>
      <c r="E22" s="2"/>
      <c r="F22" s="2"/>
      <c r="G22" s="2"/>
      <c r="H22" s="2"/>
      <c r="I22" s="2"/>
      <c r="J22" s="2"/>
    </row>
    <row r="23" spans="1:10" ht="15.75">
      <c r="A23" s="2"/>
      <c r="B23" s="19" t="s">
        <v>14</v>
      </c>
      <c r="C23" s="20">
        <f>B20/B24</f>
        <v>0.04</v>
      </c>
      <c r="E23" s="2"/>
      <c r="F23" s="2"/>
      <c r="G23" s="21" t="s">
        <v>18</v>
      </c>
      <c r="I23" s="4">
        <f>C23</f>
        <v>0.04</v>
      </c>
      <c r="J23" s="23" t="s">
        <v>19</v>
      </c>
    </row>
    <row r="24" spans="1:10" ht="15">
      <c r="A24" s="2"/>
      <c r="B24" s="17">
        <f t="shared" ref="B24:E25" si="0">B18</f>
        <v>0.25</v>
      </c>
      <c r="C24" s="9">
        <f t="shared" si="0"/>
        <v>0.5</v>
      </c>
      <c r="D24" s="9">
        <f t="shared" si="0"/>
        <v>1</v>
      </c>
      <c r="E24" s="9">
        <f t="shared" si="0"/>
        <v>0.25</v>
      </c>
      <c r="G24" s="2"/>
      <c r="H24" s="2"/>
      <c r="I24" s="2"/>
      <c r="J24" s="2"/>
    </row>
    <row r="25" spans="1:10" ht="15.75">
      <c r="A25" s="7" t="s">
        <v>8</v>
      </c>
      <c r="B25" s="9">
        <f t="shared" si="0"/>
        <v>0</v>
      </c>
      <c r="C25" s="9">
        <f t="shared" si="0"/>
        <v>0.12</v>
      </c>
      <c r="D25" s="9">
        <f t="shared" si="0"/>
        <v>0.64</v>
      </c>
      <c r="E25" s="9">
        <f t="shared" si="0"/>
        <v>0.4</v>
      </c>
      <c r="G25" s="2"/>
      <c r="H25" s="2"/>
      <c r="I25" s="2"/>
      <c r="J25" s="2"/>
    </row>
    <row r="26" spans="1:10" ht="15">
      <c r="A26" s="2"/>
      <c r="B26" s="22">
        <f>B20-B24*$C$23</f>
        <v>0</v>
      </c>
      <c r="C26" s="22">
        <f>C20-C24*$C$23</f>
        <v>0.08</v>
      </c>
      <c r="D26" s="22">
        <f>D20-D24*$C$23</f>
        <v>0.96</v>
      </c>
      <c r="E26" s="22">
        <f>E20-E24*$C$23</f>
        <v>0.8</v>
      </c>
      <c r="G26" s="2"/>
      <c r="H26" s="2"/>
      <c r="I26" s="2"/>
      <c r="J26" s="2"/>
    </row>
    <row r="27" spans="1:10" ht="1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5.75">
      <c r="A28" s="14" t="s">
        <v>20</v>
      </c>
      <c r="B28" s="15"/>
      <c r="C28" s="15"/>
      <c r="D28" s="15"/>
      <c r="E28" s="15"/>
      <c r="F28" s="16"/>
      <c r="G28" s="16"/>
      <c r="H28" s="16"/>
      <c r="I28" s="16"/>
      <c r="J28" s="2"/>
    </row>
    <row r="29" spans="1:10" ht="15.75">
      <c r="A29" s="14"/>
      <c r="B29" s="9">
        <f t="shared" ref="B29:E31" si="1">B24</f>
        <v>0.25</v>
      </c>
      <c r="C29" s="9">
        <f t="shared" si="1"/>
        <v>0.5</v>
      </c>
      <c r="D29" s="9">
        <f t="shared" si="1"/>
        <v>1</v>
      </c>
      <c r="E29" s="9">
        <f t="shared" si="1"/>
        <v>0.25</v>
      </c>
      <c r="F29" s="16"/>
      <c r="G29" s="16"/>
      <c r="H29" s="16"/>
      <c r="I29" s="16"/>
      <c r="J29" s="2"/>
    </row>
    <row r="30" spans="1:10" ht="15.75">
      <c r="A30" s="14"/>
      <c r="B30" s="9">
        <f t="shared" si="1"/>
        <v>0</v>
      </c>
      <c r="C30" s="17">
        <f t="shared" si="1"/>
        <v>0.12</v>
      </c>
      <c r="D30" s="9">
        <f t="shared" si="1"/>
        <v>0.64</v>
      </c>
      <c r="E30" s="9">
        <f t="shared" si="1"/>
        <v>0.4</v>
      </c>
      <c r="F30" s="16"/>
      <c r="G30" s="16"/>
      <c r="H30" s="16"/>
      <c r="I30" s="16"/>
      <c r="J30" s="2"/>
    </row>
    <row r="31" spans="1:10" ht="15.75">
      <c r="A31" s="14"/>
      <c r="B31" s="9">
        <f t="shared" si="1"/>
        <v>0</v>
      </c>
      <c r="C31" s="9">
        <f t="shared" si="1"/>
        <v>0.08</v>
      </c>
      <c r="D31" s="9">
        <f t="shared" si="1"/>
        <v>0.96</v>
      </c>
      <c r="E31" s="9">
        <f t="shared" si="1"/>
        <v>0.8</v>
      </c>
      <c r="F31" s="16"/>
      <c r="G31" s="16"/>
      <c r="H31" s="16"/>
      <c r="I31" s="16"/>
      <c r="J31" s="2"/>
    </row>
    <row r="32" spans="1:10" ht="18.75">
      <c r="B32" s="18" t="s">
        <v>21</v>
      </c>
      <c r="C32" s="2"/>
      <c r="D32" s="2"/>
      <c r="F32" s="2"/>
      <c r="H32" s="2"/>
      <c r="I32" s="2"/>
      <c r="J32" s="2"/>
    </row>
    <row r="33" spans="1:11" ht="15.75">
      <c r="B33" s="19" t="s">
        <v>14</v>
      </c>
      <c r="C33" s="20">
        <f>C31/C30</f>
        <v>0.66666666666666674</v>
      </c>
      <c r="D33" s="2"/>
      <c r="F33" s="2"/>
      <c r="G33" s="21" t="s">
        <v>18</v>
      </c>
      <c r="H33" s="2"/>
      <c r="I33" s="2">
        <f>C33</f>
        <v>0.66666666666666674</v>
      </c>
      <c r="J33" s="7" t="s">
        <v>22</v>
      </c>
    </row>
    <row r="34" spans="1:11" ht="15">
      <c r="A34" s="2"/>
      <c r="B34" s="9">
        <f t="shared" ref="B34:E35" si="2">B29</f>
        <v>0.25</v>
      </c>
      <c r="C34" s="9">
        <f t="shared" si="2"/>
        <v>0.5</v>
      </c>
      <c r="D34" s="9">
        <f t="shared" si="2"/>
        <v>1</v>
      </c>
      <c r="E34" s="9">
        <f t="shared" si="2"/>
        <v>0.25</v>
      </c>
      <c r="F34" s="2"/>
      <c r="G34" s="2"/>
      <c r="H34" s="2"/>
      <c r="I34" s="2"/>
      <c r="J34" s="2"/>
    </row>
    <row r="35" spans="1:11" ht="15.75">
      <c r="A35" s="7" t="s">
        <v>8</v>
      </c>
      <c r="B35" s="9">
        <f t="shared" si="2"/>
        <v>0</v>
      </c>
      <c r="C35" s="17">
        <f t="shared" si="2"/>
        <v>0.12</v>
      </c>
      <c r="D35" s="9">
        <f t="shared" si="2"/>
        <v>0.64</v>
      </c>
      <c r="E35" s="9">
        <f t="shared" si="2"/>
        <v>0.4</v>
      </c>
      <c r="F35" s="2"/>
      <c r="G35" s="2"/>
      <c r="H35" s="2"/>
      <c r="I35" s="2"/>
      <c r="J35" s="2"/>
    </row>
    <row r="36" spans="1:11" ht="15">
      <c r="A36" s="2"/>
      <c r="B36" s="22">
        <f>B31-$C$33*B30</f>
        <v>0</v>
      </c>
      <c r="C36" s="22">
        <f>C31-$C$33*C30</f>
        <v>0</v>
      </c>
      <c r="D36" s="22">
        <f>D31-$C$33*D30</f>
        <v>0.53333333333333321</v>
      </c>
      <c r="E36" s="22">
        <f>E31-$C$33*E30</f>
        <v>0.53333333333333333</v>
      </c>
      <c r="F36" s="2"/>
      <c r="G36" s="2"/>
      <c r="H36" s="2"/>
      <c r="I36" s="2"/>
      <c r="J36" s="2"/>
    </row>
    <row r="37" spans="1:11" ht="1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1" ht="18.75">
      <c r="A38" s="6" t="s">
        <v>23</v>
      </c>
      <c r="B38" s="2"/>
      <c r="C38" s="2"/>
      <c r="D38" s="2"/>
      <c r="E38" s="2"/>
      <c r="F38" s="2"/>
      <c r="G38" s="2"/>
      <c r="H38" s="2"/>
      <c r="I38" s="2"/>
      <c r="J38" s="2"/>
    </row>
    <row r="39" spans="1:11" ht="1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1" ht="15.75">
      <c r="A40" s="24">
        <f>B34</f>
        <v>0.25</v>
      </c>
      <c r="B40" s="11" t="s">
        <v>7</v>
      </c>
      <c r="C40" s="2">
        <f>C34</f>
        <v>0.5</v>
      </c>
      <c r="D40" s="11" t="s">
        <v>9</v>
      </c>
      <c r="E40" s="2">
        <f>D34</f>
        <v>1</v>
      </c>
      <c r="F40" s="11" t="s">
        <v>10</v>
      </c>
      <c r="G40" s="25" t="s">
        <v>24</v>
      </c>
      <c r="H40" s="2">
        <f>E34</f>
        <v>0.25</v>
      </c>
      <c r="I40" s="2"/>
      <c r="J40" s="26" t="s">
        <v>25</v>
      </c>
      <c r="K40" s="26">
        <f>(E34-D34*K42-C34*K41)/B34</f>
        <v>1.0000000000000009</v>
      </c>
    </row>
    <row r="41" spans="1:11" ht="15.75">
      <c r="A41" s="24"/>
      <c r="B41" s="25"/>
      <c r="C41" s="2">
        <f>C35</f>
        <v>0.12</v>
      </c>
      <c r="D41" s="11" t="s">
        <v>9</v>
      </c>
      <c r="E41" s="2">
        <f>D35</f>
        <v>0.64</v>
      </c>
      <c r="F41" s="11" t="s">
        <v>10</v>
      </c>
      <c r="G41" s="25" t="s">
        <v>24</v>
      </c>
      <c r="H41" s="2">
        <f>E35</f>
        <v>0.4</v>
      </c>
      <c r="I41" s="2"/>
      <c r="J41" s="26" t="s">
        <v>26</v>
      </c>
      <c r="K41" s="26">
        <f>(E35-D35*K42)/C35</f>
        <v>-2.0000000000000009</v>
      </c>
    </row>
    <row r="42" spans="1:11" ht="15.75">
      <c r="A42" s="24"/>
      <c r="B42" s="25"/>
      <c r="C42" s="2"/>
      <c r="D42" s="25"/>
      <c r="E42" s="2">
        <f>D36</f>
        <v>0.53333333333333321</v>
      </c>
      <c r="F42" s="11" t="s">
        <v>10</v>
      </c>
      <c r="G42" s="25" t="s">
        <v>24</v>
      </c>
      <c r="H42" s="2">
        <f>E36</f>
        <v>0.53333333333333333</v>
      </c>
      <c r="I42" s="2"/>
      <c r="J42" s="26" t="s">
        <v>27</v>
      </c>
      <c r="K42" s="26">
        <f>E36/D36</f>
        <v>1.0000000000000002</v>
      </c>
    </row>
    <row r="43" spans="1:11" ht="15">
      <c r="A43" s="2"/>
      <c r="B43" s="2"/>
      <c r="C43" s="2"/>
      <c r="D43" s="2"/>
      <c r="E43" s="2"/>
      <c r="F43" s="2"/>
      <c r="G43" s="2"/>
      <c r="H43" s="2"/>
      <c r="I43" s="2"/>
      <c r="J43" s="2"/>
    </row>
  </sheetData>
  <mergeCells count="1">
    <mergeCell ref="A2:C2"/>
  </mergeCells>
  <pageMargins left="0.26614173228346455" right="0.38070866141732279" top="0.39370078740157477" bottom="0.39370078740157477" header="0" footer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3B86-73F6-4C59-B750-56FA4C5D6442}">
  <dimension ref="A1:N79"/>
  <sheetViews>
    <sheetView tabSelected="1" workbookViewId="0"/>
  </sheetViews>
  <sheetFormatPr defaultRowHeight="14.25"/>
  <cols>
    <col min="1" max="1" width="7.5703125" style="30" customWidth="1"/>
    <col min="2" max="2" width="6.28515625" style="30" customWidth="1"/>
    <col min="3" max="3" width="6.42578125" style="30" customWidth="1"/>
    <col min="4" max="4" width="7.140625" style="30" customWidth="1"/>
    <col min="5" max="5" width="6.7109375" style="30" customWidth="1"/>
    <col min="6" max="6" width="6.5703125" style="30" customWidth="1"/>
    <col min="7" max="7" width="6.28515625" style="30" customWidth="1"/>
    <col min="8" max="8" width="7.140625" style="30" customWidth="1"/>
    <col min="9" max="9" width="6.5703125" style="30" customWidth="1"/>
    <col min="10" max="10" width="8.140625" style="30" customWidth="1"/>
    <col min="11" max="11" width="11" style="30" customWidth="1"/>
    <col min="12" max="12" width="7.7109375" style="30" customWidth="1"/>
    <col min="13" max="13" width="8.5703125" style="30" customWidth="1"/>
    <col min="14" max="14" width="12.140625" style="30" customWidth="1"/>
    <col min="15" max="16384" width="9.140625" style="30"/>
  </cols>
  <sheetData>
    <row r="1" spans="1:14" ht="15.75">
      <c r="A1" s="27" t="s">
        <v>28</v>
      </c>
      <c r="B1" s="28"/>
      <c r="C1" s="29" t="s">
        <v>1</v>
      </c>
      <c r="D1" s="28"/>
      <c r="E1" s="28"/>
      <c r="F1" s="28"/>
      <c r="G1" s="28"/>
      <c r="H1" s="28"/>
      <c r="I1" s="28"/>
      <c r="J1" s="28"/>
    </row>
    <row r="2" spans="1:14" ht="68.099999999999994" customHeight="1">
      <c r="A2" s="31"/>
      <c r="B2" s="31"/>
      <c r="C2" s="31"/>
      <c r="D2" s="28"/>
      <c r="E2" s="28"/>
      <c r="F2" s="28"/>
      <c r="G2" s="28"/>
      <c r="H2" s="28"/>
      <c r="I2" s="28"/>
      <c r="J2" s="28"/>
    </row>
    <row r="3" spans="1:14" ht="15">
      <c r="F3" s="28"/>
      <c r="G3" s="28"/>
      <c r="H3" s="28"/>
      <c r="I3" s="28"/>
      <c r="J3" s="28"/>
    </row>
    <row r="4" spans="1:14" ht="18.75">
      <c r="A4" s="32" t="s">
        <v>2</v>
      </c>
      <c r="F4" s="28"/>
      <c r="G4" s="28"/>
      <c r="H4" s="28"/>
      <c r="I4" s="28"/>
      <c r="J4" s="28"/>
      <c r="K4" s="28" t="s">
        <v>3</v>
      </c>
      <c r="L4" s="28"/>
    </row>
    <row r="5" spans="1:14" ht="15.75">
      <c r="A5" s="28"/>
      <c r="B5" s="28"/>
      <c r="C5" s="33" t="s">
        <v>4</v>
      </c>
      <c r="D5" s="33"/>
      <c r="F5" s="33" t="s">
        <v>5</v>
      </c>
      <c r="G5" s="28"/>
      <c r="H5" s="28"/>
      <c r="I5" s="28"/>
      <c r="J5" s="28"/>
      <c r="K5" s="34" t="s">
        <v>6</v>
      </c>
      <c r="L5" s="28"/>
    </row>
    <row r="6" spans="1:14" ht="15.75">
      <c r="A6" s="28"/>
      <c r="B6" s="35">
        <v>4</v>
      </c>
      <c r="C6" s="35">
        <v>-2</v>
      </c>
      <c r="D6" s="35">
        <v>-3</v>
      </c>
      <c r="E6" s="35">
        <v>6</v>
      </c>
      <c r="F6" s="36">
        <v>12</v>
      </c>
      <c r="G6" s="28"/>
      <c r="H6" s="28"/>
      <c r="I6" s="28"/>
      <c r="J6" s="28" t="s">
        <v>7</v>
      </c>
      <c r="K6" s="37">
        <f>L75</f>
        <v>2</v>
      </c>
      <c r="L6" s="38">
        <f t="array" ref="L6:L9">MMULT(B6:E9,K6:K9)</f>
        <v>12</v>
      </c>
      <c r="M6" s="30" t="str">
        <f>IF(L6=F6,"OK","!!!")</f>
        <v>OK</v>
      </c>
      <c r="N6" s="30" t="str">
        <f>IF(ABS(F6-L6)&lt;0.05,"OK","!!!")</f>
        <v>OK</v>
      </c>
    </row>
    <row r="7" spans="1:14" ht="15.75">
      <c r="A7" s="33" t="s">
        <v>8</v>
      </c>
      <c r="B7" s="35">
        <v>-6</v>
      </c>
      <c r="C7" s="35">
        <v>7</v>
      </c>
      <c r="D7" s="35">
        <v>6.5</v>
      </c>
      <c r="E7" s="35">
        <v>-6</v>
      </c>
      <c r="F7" s="36">
        <v>-6.5</v>
      </c>
      <c r="G7" s="28"/>
      <c r="H7" s="28"/>
      <c r="I7" s="28"/>
      <c r="J7" s="28" t="s">
        <v>9</v>
      </c>
      <c r="K7" s="37">
        <f>L76</f>
        <v>4</v>
      </c>
      <c r="L7" s="39">
        <v>-6.5</v>
      </c>
      <c r="M7" s="30" t="str">
        <f>IF(L7=F7,"OK","!!!")</f>
        <v>OK</v>
      </c>
      <c r="N7" s="30" t="str">
        <f>IF(ABS(F7-L7)&lt;0.05,"OK","!!!")</f>
        <v>OK</v>
      </c>
    </row>
    <row r="8" spans="1:14" ht="15.75">
      <c r="A8" s="28"/>
      <c r="B8" s="35">
        <v>1</v>
      </c>
      <c r="C8" s="35">
        <v>7.5</v>
      </c>
      <c r="D8" s="35">
        <v>6.25</v>
      </c>
      <c r="E8" s="35">
        <v>5.5</v>
      </c>
      <c r="F8" s="36">
        <v>16</v>
      </c>
      <c r="G8" s="28"/>
      <c r="H8" s="28"/>
      <c r="I8" s="28"/>
      <c r="J8" s="28" t="s">
        <v>10</v>
      </c>
      <c r="K8" s="37">
        <f>L77</f>
        <v>-3</v>
      </c>
      <c r="L8" s="38">
        <v>16</v>
      </c>
      <c r="M8" s="30" t="str">
        <f>IF(L8=F8,"OK","!!!")</f>
        <v>OK</v>
      </c>
      <c r="N8" s="30" t="str">
        <f>IF(ABS(F8-L8)&lt;0.05,"OK","!!!")</f>
        <v>OK</v>
      </c>
    </row>
    <row r="9" spans="1:14" ht="15.75">
      <c r="A9" s="28"/>
      <c r="B9" s="35">
        <v>-12</v>
      </c>
      <c r="C9" s="35">
        <v>22</v>
      </c>
      <c r="D9" s="35">
        <v>15.5</v>
      </c>
      <c r="E9" s="35">
        <v>-1</v>
      </c>
      <c r="F9" s="36">
        <v>17</v>
      </c>
      <c r="G9" s="28"/>
      <c r="H9" s="28"/>
      <c r="I9" s="28"/>
      <c r="J9" s="28" t="s">
        <v>29</v>
      </c>
      <c r="K9" s="37">
        <f>L78</f>
        <v>0.5</v>
      </c>
      <c r="L9" s="40">
        <v>17</v>
      </c>
      <c r="M9" s="30" t="str">
        <f>IF(L9=F9,"OK","!!!")</f>
        <v>OK</v>
      </c>
      <c r="N9" s="30" t="str">
        <f>IF(ABS(F9-L9)&lt;0.05,"OK","!!!")</f>
        <v>OK</v>
      </c>
    </row>
    <row r="10" spans="1:14" ht="15">
      <c r="A10" s="28"/>
      <c r="B10" s="28"/>
      <c r="C10" s="28"/>
      <c r="D10" s="28"/>
      <c r="E10" s="28"/>
      <c r="F10" s="28"/>
      <c r="G10" s="28"/>
      <c r="H10" s="28"/>
      <c r="I10" s="28"/>
      <c r="J10" s="28"/>
    </row>
    <row r="11" spans="1:14" ht="18.75">
      <c r="A11" s="32" t="s">
        <v>11</v>
      </c>
      <c r="B11" s="28"/>
      <c r="C11" s="28"/>
      <c r="D11" s="28"/>
      <c r="E11" s="28"/>
      <c r="F11" s="28"/>
      <c r="G11" s="28"/>
      <c r="H11" s="28"/>
      <c r="I11" s="28"/>
      <c r="J11" s="28"/>
    </row>
    <row r="12" spans="1:14" ht="15">
      <c r="A12" s="28"/>
      <c r="B12" s="28"/>
      <c r="C12" s="28"/>
      <c r="D12" s="28"/>
      <c r="E12" s="28"/>
      <c r="F12" s="28"/>
      <c r="G12" s="28"/>
      <c r="H12" s="28"/>
      <c r="I12" s="28"/>
      <c r="J12" s="28"/>
    </row>
    <row r="13" spans="1:14" ht="15.75">
      <c r="A13" s="41" t="s">
        <v>12</v>
      </c>
      <c r="B13" s="42"/>
      <c r="C13" s="42"/>
      <c r="D13" s="42"/>
      <c r="E13" s="42"/>
      <c r="F13" s="43"/>
      <c r="G13" s="43"/>
      <c r="H13" s="43"/>
      <c r="I13" s="43"/>
      <c r="J13" s="28"/>
    </row>
    <row r="14" spans="1:14" ht="15.75">
      <c r="A14" s="41"/>
      <c r="B14" s="44">
        <v>4</v>
      </c>
      <c r="C14" s="35">
        <v>-2</v>
      </c>
      <c r="D14" s="35">
        <v>-3</v>
      </c>
      <c r="E14" s="35">
        <v>6</v>
      </c>
      <c r="F14" s="36">
        <v>12</v>
      </c>
      <c r="G14" s="43"/>
      <c r="H14" s="43"/>
      <c r="I14" s="43"/>
      <c r="J14" s="28"/>
    </row>
    <row r="15" spans="1:14" ht="15.75">
      <c r="A15" s="41"/>
      <c r="B15" s="35">
        <v>-6</v>
      </c>
      <c r="C15" s="35">
        <v>7</v>
      </c>
      <c r="D15" s="35">
        <v>6.5</v>
      </c>
      <c r="E15" s="35">
        <v>-6</v>
      </c>
      <c r="F15" s="36">
        <v>-6.5</v>
      </c>
      <c r="G15" s="43"/>
      <c r="H15" s="43"/>
      <c r="I15" s="43"/>
      <c r="J15" s="28"/>
    </row>
    <row r="16" spans="1:14" ht="15.75">
      <c r="A16" s="41"/>
      <c r="B16" s="35">
        <v>1</v>
      </c>
      <c r="C16" s="35">
        <v>7.5</v>
      </c>
      <c r="D16" s="35">
        <v>6.25</v>
      </c>
      <c r="E16" s="35">
        <v>5.5</v>
      </c>
      <c r="F16" s="36">
        <v>16</v>
      </c>
      <c r="G16" s="43"/>
      <c r="H16" s="43"/>
      <c r="I16" s="43"/>
      <c r="J16" s="28"/>
    </row>
    <row r="17" spans="1:10" ht="15.75">
      <c r="A17" s="41"/>
      <c r="B17" s="35">
        <v>-12</v>
      </c>
      <c r="C17" s="35">
        <v>22</v>
      </c>
      <c r="D17" s="35">
        <v>15.5</v>
      </c>
      <c r="E17" s="35">
        <v>-1</v>
      </c>
      <c r="F17" s="36">
        <v>17</v>
      </c>
      <c r="G17" s="43"/>
      <c r="H17" s="43"/>
      <c r="I17" s="43"/>
      <c r="J17" s="28"/>
    </row>
    <row r="18" spans="1:10" ht="18.75">
      <c r="B18" s="45" t="s">
        <v>13</v>
      </c>
      <c r="C18" s="28"/>
      <c r="D18" s="28"/>
      <c r="F18" s="28"/>
      <c r="H18" s="28"/>
      <c r="I18" s="28"/>
      <c r="J18" s="28"/>
    </row>
    <row r="19" spans="1:10" ht="15.75">
      <c r="B19" s="46" t="s">
        <v>14</v>
      </c>
      <c r="C19" s="47">
        <f>B15/B14</f>
        <v>-1.5</v>
      </c>
      <c r="D19" s="28"/>
      <c r="F19" s="28"/>
    </row>
    <row r="20" spans="1:10" ht="15">
      <c r="A20" s="28"/>
      <c r="B20" s="44">
        <f>B14</f>
        <v>4</v>
      </c>
      <c r="C20" s="35">
        <f>C14</f>
        <v>-2</v>
      </c>
      <c r="D20" s="35">
        <f>D14</f>
        <v>-3</v>
      </c>
      <c r="E20" s="35">
        <f>E14</f>
        <v>6</v>
      </c>
      <c r="F20" s="35">
        <f>F14</f>
        <v>12</v>
      </c>
      <c r="G20" s="28"/>
      <c r="H20" s="28"/>
      <c r="I20" s="28"/>
      <c r="J20" s="28"/>
    </row>
    <row r="21" spans="1:10" ht="15.75">
      <c r="A21" s="33" t="s">
        <v>8</v>
      </c>
      <c r="B21" s="48">
        <f>B15-B14*$C$19</f>
        <v>0</v>
      </c>
      <c r="C21" s="48">
        <f>C15-C14*$C$19</f>
        <v>4</v>
      </c>
      <c r="D21" s="48">
        <f>D15-D14*$C$19</f>
        <v>2</v>
      </c>
      <c r="E21" s="48">
        <f>E15-E14*$C$19</f>
        <v>3</v>
      </c>
      <c r="F21" s="48">
        <f>F15-F14*$C$19</f>
        <v>11.5</v>
      </c>
      <c r="G21" s="49" t="s">
        <v>15</v>
      </c>
      <c r="H21" s="28"/>
      <c r="I21" s="28">
        <f>C19</f>
        <v>-1.5</v>
      </c>
      <c r="J21" s="33" t="s">
        <v>16</v>
      </c>
    </row>
    <row r="22" spans="1:10" ht="15">
      <c r="A22" s="28"/>
      <c r="B22" s="35">
        <f t="shared" ref="B22:F23" si="0">B16</f>
        <v>1</v>
      </c>
      <c r="C22" s="35">
        <f t="shared" si="0"/>
        <v>7.5</v>
      </c>
      <c r="D22" s="35">
        <f t="shared" si="0"/>
        <v>6.25</v>
      </c>
      <c r="E22" s="35">
        <f t="shared" si="0"/>
        <v>5.5</v>
      </c>
      <c r="F22" s="35">
        <f t="shared" si="0"/>
        <v>16</v>
      </c>
      <c r="G22" s="28"/>
      <c r="H22" s="28"/>
      <c r="I22" s="28"/>
      <c r="J22" s="28"/>
    </row>
    <row r="23" spans="1:10" ht="15">
      <c r="A23" s="28"/>
      <c r="B23" s="35">
        <f t="shared" si="0"/>
        <v>-12</v>
      </c>
      <c r="C23" s="35">
        <f t="shared" si="0"/>
        <v>22</v>
      </c>
      <c r="D23" s="35">
        <f t="shared" si="0"/>
        <v>15.5</v>
      </c>
      <c r="E23" s="35">
        <f t="shared" si="0"/>
        <v>-1</v>
      </c>
      <c r="F23" s="35">
        <f t="shared" si="0"/>
        <v>17</v>
      </c>
      <c r="G23" s="28"/>
      <c r="H23" s="28"/>
      <c r="I23" s="28"/>
      <c r="J23" s="28"/>
    </row>
    <row r="24" spans="1:10" ht="15">
      <c r="A24" s="28"/>
      <c r="B24" s="28"/>
      <c r="C24" s="28"/>
      <c r="D24" s="28"/>
      <c r="E24" s="28"/>
      <c r="F24" s="28"/>
      <c r="G24" s="28"/>
      <c r="H24" s="28"/>
      <c r="I24" s="28"/>
      <c r="J24" s="28"/>
    </row>
    <row r="25" spans="1:10" ht="18.75">
      <c r="A25" s="28"/>
      <c r="B25" s="49" t="s">
        <v>30</v>
      </c>
      <c r="C25" s="28"/>
      <c r="D25" s="28"/>
      <c r="E25" s="28"/>
      <c r="F25" s="28"/>
      <c r="G25" s="28"/>
      <c r="H25" s="28"/>
      <c r="I25" s="28"/>
      <c r="J25" s="28"/>
    </row>
    <row r="26" spans="1:10" ht="15.75">
      <c r="A26" s="28"/>
      <c r="B26" s="46" t="s">
        <v>14</v>
      </c>
      <c r="C26" s="47">
        <f>B22/B27</f>
        <v>0.25</v>
      </c>
      <c r="E26" s="28"/>
      <c r="F26" s="28"/>
    </row>
    <row r="27" spans="1:10" ht="15">
      <c r="A27" s="28"/>
      <c r="B27" s="44">
        <f t="shared" ref="B27:F28" si="1">B20</f>
        <v>4</v>
      </c>
      <c r="C27" s="35">
        <f t="shared" si="1"/>
        <v>-2</v>
      </c>
      <c r="D27" s="35">
        <f t="shared" si="1"/>
        <v>-3</v>
      </c>
      <c r="E27" s="35">
        <f t="shared" si="1"/>
        <v>6</v>
      </c>
      <c r="F27" s="35">
        <f t="shared" si="1"/>
        <v>12</v>
      </c>
      <c r="G27" s="28"/>
      <c r="H27" s="28"/>
      <c r="I27" s="28"/>
      <c r="J27" s="28"/>
    </row>
    <row r="28" spans="1:10" ht="15.75">
      <c r="A28" s="33" t="s">
        <v>8</v>
      </c>
      <c r="B28" s="35">
        <f t="shared" si="1"/>
        <v>0</v>
      </c>
      <c r="C28" s="35">
        <f t="shared" si="1"/>
        <v>4</v>
      </c>
      <c r="D28" s="35">
        <f t="shared" si="1"/>
        <v>2</v>
      </c>
      <c r="E28" s="35">
        <f t="shared" si="1"/>
        <v>3</v>
      </c>
      <c r="F28" s="35">
        <f t="shared" si="1"/>
        <v>11.5</v>
      </c>
      <c r="G28" s="28"/>
      <c r="H28" s="28"/>
      <c r="I28" s="28"/>
      <c r="J28" s="28"/>
    </row>
    <row r="29" spans="1:10" ht="15.75">
      <c r="A29" s="28"/>
      <c r="B29" s="48">
        <f>B22-B27*$C$26</f>
        <v>0</v>
      </c>
      <c r="C29" s="48">
        <f>C22-C27*$C$26</f>
        <v>8</v>
      </c>
      <c r="D29" s="48">
        <f>D22-D27*$C$26</f>
        <v>7</v>
      </c>
      <c r="E29" s="48">
        <f>E22-E27*$C$26</f>
        <v>4</v>
      </c>
      <c r="F29" s="48">
        <f>F22-F27*$C$26</f>
        <v>13</v>
      </c>
      <c r="G29" s="49" t="s">
        <v>18</v>
      </c>
      <c r="I29" s="30">
        <f>C26</f>
        <v>0.25</v>
      </c>
      <c r="J29" s="50" t="s">
        <v>19</v>
      </c>
    </row>
    <row r="30" spans="1:10" ht="15.75">
      <c r="A30" s="28"/>
      <c r="B30" s="35">
        <f>B23</f>
        <v>-12</v>
      </c>
      <c r="C30" s="35">
        <f>C23</f>
        <v>22</v>
      </c>
      <c r="D30" s="35">
        <f>D23</f>
        <v>15.5</v>
      </c>
      <c r="E30" s="35">
        <f>E23</f>
        <v>-1</v>
      </c>
      <c r="F30" s="35">
        <f>F23</f>
        <v>17</v>
      </c>
      <c r="G30" s="49"/>
      <c r="J30" s="50"/>
    </row>
    <row r="31" spans="1:10" ht="15">
      <c r="A31" s="28"/>
      <c r="B31" s="28"/>
      <c r="C31" s="28"/>
      <c r="D31" s="28"/>
      <c r="E31" s="28"/>
      <c r="F31" s="28"/>
      <c r="G31" s="28"/>
      <c r="H31" s="28"/>
      <c r="I31" s="28"/>
      <c r="J31" s="28"/>
    </row>
    <row r="32" spans="1:10" ht="18.75">
      <c r="A32" s="28"/>
      <c r="B32" s="49" t="s">
        <v>31</v>
      </c>
      <c r="C32" s="28"/>
      <c r="D32" s="28"/>
      <c r="E32" s="28"/>
      <c r="F32" s="28"/>
      <c r="G32" s="28"/>
      <c r="H32" s="28"/>
      <c r="I32" s="28"/>
      <c r="J32" s="28"/>
    </row>
    <row r="33" spans="1:10" ht="15.75">
      <c r="A33" s="28"/>
      <c r="B33" s="46" t="s">
        <v>14</v>
      </c>
      <c r="C33" s="47">
        <f>B30/B34</f>
        <v>-3</v>
      </c>
      <c r="E33" s="28"/>
      <c r="F33" s="28"/>
    </row>
    <row r="34" spans="1:10" ht="15">
      <c r="A34" s="28"/>
      <c r="B34" s="44">
        <f t="shared" ref="B34:F36" si="2">B27</f>
        <v>4</v>
      </c>
      <c r="C34" s="35">
        <f t="shared" si="2"/>
        <v>-2</v>
      </c>
      <c r="D34" s="35">
        <f t="shared" si="2"/>
        <v>-3</v>
      </c>
      <c r="E34" s="35">
        <f t="shared" si="2"/>
        <v>6</v>
      </c>
      <c r="F34" s="35">
        <f t="shared" si="2"/>
        <v>12</v>
      </c>
      <c r="G34" s="28"/>
      <c r="H34" s="28"/>
      <c r="I34" s="28"/>
      <c r="J34" s="28"/>
    </row>
    <row r="35" spans="1:10" ht="15.75">
      <c r="A35" s="33" t="s">
        <v>8</v>
      </c>
      <c r="B35" s="35">
        <f t="shared" si="2"/>
        <v>0</v>
      </c>
      <c r="C35" s="35">
        <f t="shared" si="2"/>
        <v>4</v>
      </c>
      <c r="D35" s="35">
        <f t="shared" si="2"/>
        <v>2</v>
      </c>
      <c r="E35" s="35">
        <f t="shared" si="2"/>
        <v>3</v>
      </c>
      <c r="F35" s="35">
        <f t="shared" si="2"/>
        <v>11.5</v>
      </c>
      <c r="G35" s="28"/>
      <c r="H35" s="28"/>
      <c r="I35" s="28"/>
      <c r="J35" s="28"/>
    </row>
    <row r="36" spans="1:10" ht="15">
      <c r="A36" s="28"/>
      <c r="B36" s="35">
        <f t="shared" si="2"/>
        <v>0</v>
      </c>
      <c r="C36" s="35">
        <f t="shared" si="2"/>
        <v>8</v>
      </c>
      <c r="D36" s="35">
        <f t="shared" si="2"/>
        <v>7</v>
      </c>
      <c r="E36" s="35">
        <f t="shared" si="2"/>
        <v>4</v>
      </c>
      <c r="F36" s="35">
        <f t="shared" si="2"/>
        <v>13</v>
      </c>
    </row>
    <row r="37" spans="1:10" ht="15.75">
      <c r="A37" s="28"/>
      <c r="B37" s="48">
        <f>B30-$C$33*B34</f>
        <v>0</v>
      </c>
      <c r="C37" s="48">
        <f>C30-$C$33*C34</f>
        <v>16</v>
      </c>
      <c r="D37" s="48">
        <f>D30-$C$33*D34</f>
        <v>6.5</v>
      </c>
      <c r="E37" s="48">
        <f>E30-$C$33*E34</f>
        <v>17</v>
      </c>
      <c r="F37" s="48">
        <f>F30-$C$33*F34</f>
        <v>53</v>
      </c>
      <c r="G37" s="49" t="s">
        <v>32</v>
      </c>
      <c r="I37" s="30">
        <f>C33</f>
        <v>-3</v>
      </c>
      <c r="J37" s="50" t="s">
        <v>19</v>
      </c>
    </row>
    <row r="38" spans="1:10" ht="15.75">
      <c r="A38" s="28"/>
      <c r="B38" s="28"/>
      <c r="C38" s="28"/>
      <c r="D38" s="28"/>
      <c r="E38" s="28"/>
      <c r="F38" s="28"/>
      <c r="G38" s="28"/>
      <c r="H38" s="28"/>
      <c r="J38" s="50"/>
    </row>
    <row r="39" spans="1:10" ht="15.75">
      <c r="A39" s="41" t="s">
        <v>20</v>
      </c>
      <c r="B39" s="42"/>
      <c r="C39" s="42"/>
      <c r="D39" s="42"/>
      <c r="E39" s="42"/>
      <c r="F39" s="43"/>
      <c r="G39" s="43"/>
      <c r="H39" s="43"/>
      <c r="I39" s="43"/>
      <c r="J39" s="28"/>
    </row>
    <row r="40" spans="1:10" ht="15.75">
      <c r="A40" s="41"/>
      <c r="B40" s="35">
        <f t="shared" ref="B40:F43" si="3">B34</f>
        <v>4</v>
      </c>
      <c r="C40" s="35">
        <f t="shared" si="3"/>
        <v>-2</v>
      </c>
      <c r="D40" s="35">
        <f t="shared" si="3"/>
        <v>-3</v>
      </c>
      <c r="E40" s="35">
        <f t="shared" si="3"/>
        <v>6</v>
      </c>
      <c r="F40" s="35">
        <f t="shared" si="3"/>
        <v>12</v>
      </c>
      <c r="G40" s="43"/>
      <c r="H40" s="43"/>
      <c r="I40" s="43"/>
      <c r="J40" s="28"/>
    </row>
    <row r="41" spans="1:10" ht="15.75">
      <c r="A41" s="41"/>
      <c r="B41" s="35">
        <f t="shared" si="3"/>
        <v>0</v>
      </c>
      <c r="C41" s="51">
        <f t="shared" si="3"/>
        <v>4</v>
      </c>
      <c r="D41" s="35">
        <f t="shared" si="3"/>
        <v>2</v>
      </c>
      <c r="E41" s="35">
        <f t="shared" si="3"/>
        <v>3</v>
      </c>
      <c r="F41" s="35">
        <f t="shared" si="3"/>
        <v>11.5</v>
      </c>
      <c r="G41" s="43"/>
      <c r="H41" s="43"/>
      <c r="I41" s="43"/>
      <c r="J41" s="28"/>
    </row>
    <row r="42" spans="1:10" ht="15.75">
      <c r="A42" s="41"/>
      <c r="B42" s="35">
        <f t="shared" si="3"/>
        <v>0</v>
      </c>
      <c r="C42" s="35">
        <f t="shared" si="3"/>
        <v>8</v>
      </c>
      <c r="D42" s="35">
        <f t="shared" si="3"/>
        <v>7</v>
      </c>
      <c r="E42" s="35">
        <f t="shared" si="3"/>
        <v>4</v>
      </c>
      <c r="F42" s="35">
        <f t="shared" si="3"/>
        <v>13</v>
      </c>
      <c r="G42" s="43"/>
      <c r="H42" s="43"/>
      <c r="I42" s="43"/>
      <c r="J42" s="28"/>
    </row>
    <row r="43" spans="1:10" ht="15.75">
      <c r="A43" s="41"/>
      <c r="B43" s="35">
        <f t="shared" si="3"/>
        <v>0</v>
      </c>
      <c r="C43" s="35">
        <f t="shared" si="3"/>
        <v>16</v>
      </c>
      <c r="D43" s="35">
        <f t="shared" si="3"/>
        <v>6.5</v>
      </c>
      <c r="E43" s="35">
        <f t="shared" si="3"/>
        <v>17</v>
      </c>
      <c r="F43" s="35">
        <f t="shared" si="3"/>
        <v>53</v>
      </c>
      <c r="G43" s="43"/>
      <c r="H43" s="43"/>
      <c r="I43" s="43"/>
      <c r="J43" s="28"/>
    </row>
    <row r="44" spans="1:10" ht="18.75">
      <c r="B44" s="45" t="s">
        <v>21</v>
      </c>
      <c r="C44" s="28"/>
      <c r="D44" s="28"/>
      <c r="F44" s="28"/>
      <c r="H44" s="28"/>
      <c r="I44" s="28"/>
      <c r="J44" s="28"/>
    </row>
    <row r="45" spans="1:10" ht="15.75">
      <c r="B45" s="46" t="s">
        <v>14</v>
      </c>
      <c r="C45" s="47">
        <f>C42/C41</f>
        <v>2</v>
      </c>
      <c r="D45" s="28"/>
      <c r="F45" s="28"/>
    </row>
    <row r="46" spans="1:10" ht="15">
      <c r="A46" s="28"/>
      <c r="B46" s="35">
        <f t="shared" ref="B46:F47" si="4">B40</f>
        <v>4</v>
      </c>
      <c r="C46" s="35">
        <f t="shared" si="4"/>
        <v>-2</v>
      </c>
      <c r="D46" s="35">
        <f t="shared" si="4"/>
        <v>-3</v>
      </c>
      <c r="E46" s="35">
        <f t="shared" si="4"/>
        <v>6</v>
      </c>
      <c r="F46" s="35">
        <f t="shared" si="4"/>
        <v>12</v>
      </c>
      <c r="G46" s="28"/>
      <c r="H46" s="28"/>
      <c r="I46" s="28"/>
      <c r="J46" s="28"/>
    </row>
    <row r="47" spans="1:10" ht="15.75">
      <c r="A47" s="33" t="s">
        <v>8</v>
      </c>
      <c r="B47" s="35">
        <f t="shared" si="4"/>
        <v>0</v>
      </c>
      <c r="C47" s="51">
        <f t="shared" si="4"/>
        <v>4</v>
      </c>
      <c r="D47" s="35">
        <f t="shared" si="4"/>
        <v>2</v>
      </c>
      <c r="E47" s="35">
        <f t="shared" si="4"/>
        <v>3</v>
      </c>
      <c r="F47" s="35">
        <f t="shared" si="4"/>
        <v>11.5</v>
      </c>
      <c r="G47" s="28"/>
      <c r="H47" s="28"/>
      <c r="I47" s="28"/>
      <c r="J47" s="28"/>
    </row>
    <row r="48" spans="1:10" ht="15.75">
      <c r="A48" s="28"/>
      <c r="B48" s="48">
        <f>B42-$C$45*B41</f>
        <v>0</v>
      </c>
      <c r="C48" s="48">
        <f>C42-$C$45*C41</f>
        <v>0</v>
      </c>
      <c r="D48" s="48">
        <f>D42-$C$45*D41</f>
        <v>3</v>
      </c>
      <c r="E48" s="48">
        <f>E42-$C$45*E41</f>
        <v>-2</v>
      </c>
      <c r="F48" s="48">
        <f>F42-$C$45*F41</f>
        <v>-10</v>
      </c>
      <c r="G48" s="49" t="s">
        <v>18</v>
      </c>
      <c r="H48" s="28"/>
      <c r="I48" s="28">
        <f>C45</f>
        <v>2</v>
      </c>
      <c r="J48" s="33" t="s">
        <v>22</v>
      </c>
    </row>
    <row r="49" spans="1:10" ht="15">
      <c r="A49" s="28"/>
      <c r="B49" s="35">
        <f>B43</f>
        <v>0</v>
      </c>
      <c r="C49" s="35">
        <f>C43</f>
        <v>16</v>
      </c>
      <c r="D49" s="35">
        <f>D43</f>
        <v>6.5</v>
      </c>
      <c r="E49" s="35">
        <f>E43</f>
        <v>17</v>
      </c>
      <c r="F49" s="35">
        <f>F43</f>
        <v>53</v>
      </c>
      <c r="G49" s="28"/>
      <c r="H49" s="28"/>
      <c r="I49" s="28"/>
      <c r="J49" s="28"/>
    </row>
    <row r="50" spans="1:10" ht="15">
      <c r="A50" s="28"/>
      <c r="B50" s="28"/>
      <c r="C50" s="28"/>
      <c r="D50" s="28"/>
      <c r="E50" s="28"/>
      <c r="F50" s="28"/>
      <c r="G50" s="28"/>
      <c r="H50" s="28"/>
      <c r="I50" s="28"/>
      <c r="J50" s="28"/>
    </row>
    <row r="51" spans="1:10" ht="18.75">
      <c r="B51" s="45" t="s">
        <v>33</v>
      </c>
      <c r="C51" s="28"/>
      <c r="D51" s="28"/>
      <c r="F51" s="28"/>
      <c r="H51" s="28"/>
      <c r="I51" s="28"/>
      <c r="J51" s="28"/>
    </row>
    <row r="52" spans="1:10" ht="15.75">
      <c r="B52" s="46" t="s">
        <v>14</v>
      </c>
      <c r="C52" s="47">
        <f>C49/C47</f>
        <v>4</v>
      </c>
      <c r="D52" s="28"/>
      <c r="F52" s="28"/>
    </row>
    <row r="53" spans="1:10" ht="15">
      <c r="A53" s="28"/>
      <c r="B53" s="35">
        <f t="shared" ref="B53:F55" si="5">B46</f>
        <v>4</v>
      </c>
      <c r="C53" s="35">
        <f t="shared" si="5"/>
        <v>-2</v>
      </c>
      <c r="D53" s="35">
        <f t="shared" si="5"/>
        <v>-3</v>
      </c>
      <c r="E53" s="35">
        <f t="shared" si="5"/>
        <v>6</v>
      </c>
      <c r="F53" s="35">
        <f t="shared" si="5"/>
        <v>12</v>
      </c>
      <c r="G53" s="28"/>
      <c r="H53" s="28"/>
      <c r="I53" s="28"/>
      <c r="J53" s="28"/>
    </row>
    <row r="54" spans="1:10" ht="15.75">
      <c r="A54" s="33" t="s">
        <v>8</v>
      </c>
      <c r="B54" s="35">
        <f t="shared" si="5"/>
        <v>0</v>
      </c>
      <c r="C54" s="51">
        <f t="shared" si="5"/>
        <v>4</v>
      </c>
      <c r="D54" s="35">
        <f t="shared" si="5"/>
        <v>2</v>
      </c>
      <c r="E54" s="35">
        <f t="shared" si="5"/>
        <v>3</v>
      </c>
      <c r="F54" s="35">
        <f t="shared" si="5"/>
        <v>11.5</v>
      </c>
      <c r="G54" s="28"/>
      <c r="H54" s="28"/>
      <c r="I54" s="28"/>
      <c r="J54" s="28"/>
    </row>
    <row r="55" spans="1:10" ht="15">
      <c r="A55" s="28"/>
      <c r="B55" s="35">
        <f t="shared" si="5"/>
        <v>0</v>
      </c>
      <c r="C55" s="35">
        <f t="shared" si="5"/>
        <v>0</v>
      </c>
      <c r="D55" s="35">
        <f t="shared" si="5"/>
        <v>3</v>
      </c>
      <c r="E55" s="35">
        <f t="shared" si="5"/>
        <v>-2</v>
      </c>
      <c r="F55" s="35">
        <f t="shared" si="5"/>
        <v>-10</v>
      </c>
    </row>
    <row r="56" spans="1:10" ht="15.75">
      <c r="A56" s="28"/>
      <c r="B56" s="48">
        <f>B49-$C$52*B47</f>
        <v>0</v>
      </c>
      <c r="C56" s="48">
        <f>C49-$C$52*C47</f>
        <v>0</v>
      </c>
      <c r="D56" s="48">
        <f>D49-$C$52*D47</f>
        <v>-1.5</v>
      </c>
      <c r="E56" s="48">
        <f>E49-$C$52*E47</f>
        <v>5</v>
      </c>
      <c r="F56" s="48">
        <f>F49-$C$52*F47</f>
        <v>7</v>
      </c>
      <c r="G56" s="49" t="s">
        <v>32</v>
      </c>
      <c r="H56" s="28"/>
      <c r="I56" s="28">
        <f>C52</f>
        <v>4</v>
      </c>
      <c r="J56" s="33" t="s">
        <v>22</v>
      </c>
    </row>
    <row r="57" spans="1:10" ht="15">
      <c r="A57" s="28"/>
      <c r="B57" s="28"/>
      <c r="C57" s="28"/>
      <c r="D57" s="28"/>
      <c r="E57" s="28"/>
      <c r="F57" s="28"/>
      <c r="G57" s="28"/>
      <c r="H57" s="28"/>
      <c r="I57" s="28"/>
      <c r="J57" s="28"/>
    </row>
    <row r="58" spans="1:10" ht="15.75">
      <c r="A58" s="41" t="s">
        <v>34</v>
      </c>
      <c r="B58" s="42"/>
      <c r="C58" s="42"/>
      <c r="D58" s="42"/>
      <c r="E58" s="42"/>
      <c r="F58" s="43"/>
      <c r="G58" s="43"/>
      <c r="H58" s="43"/>
      <c r="I58" s="43"/>
      <c r="J58" s="28"/>
    </row>
    <row r="59" spans="1:10" ht="15.75">
      <c r="A59" s="41"/>
      <c r="B59" s="35">
        <f t="shared" ref="B59:F62" si="6">B53</f>
        <v>4</v>
      </c>
      <c r="C59" s="35">
        <f t="shared" si="6"/>
        <v>-2</v>
      </c>
      <c r="D59" s="35">
        <f t="shared" si="6"/>
        <v>-3</v>
      </c>
      <c r="E59" s="35">
        <f t="shared" si="6"/>
        <v>6</v>
      </c>
      <c r="F59" s="35">
        <f t="shared" si="6"/>
        <v>12</v>
      </c>
      <c r="G59" s="43"/>
      <c r="H59" s="43"/>
      <c r="I59" s="43"/>
      <c r="J59" s="28"/>
    </row>
    <row r="60" spans="1:10" ht="15.75">
      <c r="A60" s="41"/>
      <c r="B60" s="35">
        <f t="shared" si="6"/>
        <v>0</v>
      </c>
      <c r="C60" s="35">
        <f t="shared" si="6"/>
        <v>4</v>
      </c>
      <c r="D60" s="35">
        <f t="shared" si="6"/>
        <v>2</v>
      </c>
      <c r="E60" s="35">
        <f t="shared" si="6"/>
        <v>3</v>
      </c>
      <c r="F60" s="35">
        <f t="shared" si="6"/>
        <v>11.5</v>
      </c>
      <c r="G60" s="43"/>
      <c r="H60" s="43"/>
      <c r="I60" s="43"/>
      <c r="J60" s="28"/>
    </row>
    <row r="61" spans="1:10" ht="15.75">
      <c r="A61" s="41"/>
      <c r="B61" s="35">
        <f t="shared" si="6"/>
        <v>0</v>
      </c>
      <c r="C61" s="35">
        <f t="shared" si="6"/>
        <v>0</v>
      </c>
      <c r="D61" s="51">
        <f t="shared" si="6"/>
        <v>3</v>
      </c>
      <c r="E61" s="35">
        <f t="shared" si="6"/>
        <v>-2</v>
      </c>
      <c r="F61" s="35">
        <f t="shared" si="6"/>
        <v>-10</v>
      </c>
      <c r="G61" s="43"/>
      <c r="H61" s="43"/>
      <c r="I61" s="43"/>
      <c r="J61" s="28"/>
    </row>
    <row r="62" spans="1:10" ht="15.75">
      <c r="A62" s="41"/>
      <c r="B62" s="35">
        <f t="shared" si="6"/>
        <v>0</v>
      </c>
      <c r="C62" s="35">
        <f t="shared" si="6"/>
        <v>0</v>
      </c>
      <c r="D62" s="35">
        <f t="shared" si="6"/>
        <v>-1.5</v>
      </c>
      <c r="E62" s="35">
        <f t="shared" si="6"/>
        <v>5</v>
      </c>
      <c r="F62" s="35">
        <f t="shared" si="6"/>
        <v>7</v>
      </c>
      <c r="G62" s="43"/>
      <c r="H62" s="43"/>
      <c r="I62" s="43"/>
      <c r="J62" s="28"/>
    </row>
    <row r="63" spans="1:10" ht="18.75">
      <c r="B63" s="45" t="s">
        <v>35</v>
      </c>
      <c r="C63" s="28"/>
      <c r="D63" s="28"/>
      <c r="F63" s="28"/>
      <c r="H63" s="28"/>
      <c r="I63" s="28"/>
      <c r="J63" s="28"/>
    </row>
    <row r="64" spans="1:10" ht="15.75">
      <c r="B64" s="46" t="s">
        <v>14</v>
      </c>
      <c r="C64" s="47">
        <f>D62/D61</f>
        <v>-0.5</v>
      </c>
      <c r="D64" s="28"/>
      <c r="F64" s="28"/>
    </row>
    <row r="65" spans="1:12" ht="15">
      <c r="A65" s="28"/>
      <c r="B65" s="35">
        <f t="shared" ref="B65:F67" si="7">B59</f>
        <v>4</v>
      </c>
      <c r="C65" s="35">
        <f t="shared" si="7"/>
        <v>-2</v>
      </c>
      <c r="D65" s="35">
        <f t="shared" si="7"/>
        <v>-3</v>
      </c>
      <c r="E65" s="35">
        <f t="shared" si="7"/>
        <v>6</v>
      </c>
      <c r="F65" s="35">
        <f t="shared" si="7"/>
        <v>12</v>
      </c>
      <c r="G65" s="28"/>
      <c r="H65" s="28"/>
      <c r="I65" s="28"/>
      <c r="J65" s="28"/>
    </row>
    <row r="66" spans="1:12" ht="15.75">
      <c r="A66" s="33" t="s">
        <v>8</v>
      </c>
      <c r="B66" s="35">
        <f t="shared" si="7"/>
        <v>0</v>
      </c>
      <c r="C66" s="35">
        <f t="shared" si="7"/>
        <v>4</v>
      </c>
      <c r="D66" s="35">
        <f t="shared" si="7"/>
        <v>2</v>
      </c>
      <c r="E66" s="35">
        <f t="shared" si="7"/>
        <v>3</v>
      </c>
      <c r="F66" s="35">
        <f t="shared" si="7"/>
        <v>11.5</v>
      </c>
      <c r="G66" s="28"/>
      <c r="H66" s="28"/>
      <c r="I66" s="28"/>
      <c r="J66" s="28"/>
    </row>
    <row r="67" spans="1:12" ht="15">
      <c r="A67" s="28"/>
      <c r="B67" s="35">
        <f t="shared" si="7"/>
        <v>0</v>
      </c>
      <c r="C67" s="35">
        <f t="shared" si="7"/>
        <v>0</v>
      </c>
      <c r="D67" s="51">
        <f t="shared" si="7"/>
        <v>3</v>
      </c>
      <c r="E67" s="35">
        <f t="shared" si="7"/>
        <v>-2</v>
      </c>
      <c r="F67" s="35">
        <f t="shared" si="7"/>
        <v>-10</v>
      </c>
    </row>
    <row r="68" spans="1:12" ht="15.75">
      <c r="A68" s="28"/>
      <c r="B68" s="48">
        <f>B62-$C$64*B67</f>
        <v>0</v>
      </c>
      <c r="C68" s="48">
        <f>C62-$C$64*C67</f>
        <v>0</v>
      </c>
      <c r="D68" s="48">
        <f>D62-$C$64*D67</f>
        <v>0</v>
      </c>
      <c r="E68" s="48">
        <f>E62-$C$64*E67</f>
        <v>4</v>
      </c>
      <c r="F68" s="48">
        <f>F62-$C$64*F67</f>
        <v>2</v>
      </c>
      <c r="G68" s="49" t="s">
        <v>32</v>
      </c>
      <c r="H68" s="28"/>
      <c r="I68" s="28">
        <f>C64</f>
        <v>-0.5</v>
      </c>
      <c r="J68" s="33" t="s">
        <v>36</v>
      </c>
    </row>
    <row r="70" spans="1:12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</row>
    <row r="71" spans="1:12" ht="15">
      <c r="A71" s="28"/>
      <c r="B71" s="28"/>
      <c r="C71" s="28"/>
      <c r="D71" s="28"/>
      <c r="E71" s="28"/>
      <c r="F71" s="28"/>
      <c r="G71" s="28"/>
      <c r="H71" s="28"/>
      <c r="I71" s="28"/>
      <c r="J71" s="28"/>
    </row>
    <row r="72" spans="1:12" ht="15">
      <c r="A72" s="28"/>
      <c r="B72" s="28"/>
      <c r="C72" s="28"/>
      <c r="D72" s="28"/>
      <c r="E72" s="28"/>
      <c r="F72" s="28"/>
      <c r="G72" s="28"/>
      <c r="H72" s="28"/>
      <c r="I72" s="28"/>
      <c r="J72" s="28"/>
    </row>
    <row r="73" spans="1:12" ht="18.75">
      <c r="A73" s="32" t="s">
        <v>23</v>
      </c>
      <c r="B73" s="28"/>
      <c r="C73" s="28"/>
      <c r="D73" s="28"/>
      <c r="E73" s="28"/>
      <c r="F73" s="28"/>
      <c r="G73" s="28"/>
      <c r="H73" s="28"/>
      <c r="I73" s="28"/>
      <c r="J73" s="28"/>
    </row>
    <row r="74" spans="1:12" ht="15">
      <c r="A74" s="28"/>
      <c r="B74" s="28"/>
      <c r="C74" s="28"/>
      <c r="D74" s="28"/>
      <c r="E74" s="28"/>
      <c r="F74" s="28"/>
      <c r="G74" s="28"/>
      <c r="H74" s="28"/>
      <c r="I74" s="28"/>
      <c r="J74" s="28"/>
    </row>
    <row r="75" spans="1:12" ht="15.75">
      <c r="A75" s="53">
        <f>B65</f>
        <v>4</v>
      </c>
      <c r="B75" s="37" t="s">
        <v>7</v>
      </c>
      <c r="C75" s="28">
        <f>C65</f>
        <v>-2</v>
      </c>
      <c r="D75" s="37" t="s">
        <v>9</v>
      </c>
      <c r="E75" s="28">
        <f>D65</f>
        <v>-3</v>
      </c>
      <c r="F75" s="37" t="s">
        <v>10</v>
      </c>
      <c r="G75" s="30">
        <f>E65</f>
        <v>6</v>
      </c>
      <c r="H75" s="37" t="s">
        <v>29</v>
      </c>
      <c r="I75" s="54" t="s">
        <v>24</v>
      </c>
      <c r="J75" s="28">
        <f>F65</f>
        <v>12</v>
      </c>
      <c r="K75" s="55" t="s">
        <v>25</v>
      </c>
      <c r="L75" s="55">
        <f>(J75-G75*L78-E75*L77-C75*L76)/A75</f>
        <v>2</v>
      </c>
    </row>
    <row r="76" spans="1:12" ht="15.75">
      <c r="A76" s="53"/>
      <c r="B76" s="54"/>
      <c r="C76" s="28">
        <f>C66</f>
        <v>4</v>
      </c>
      <c r="D76" s="37" t="s">
        <v>9</v>
      </c>
      <c r="E76" s="28">
        <f>D66</f>
        <v>2</v>
      </c>
      <c r="F76" s="37" t="s">
        <v>10</v>
      </c>
      <c r="G76" s="30">
        <f>E66</f>
        <v>3</v>
      </c>
      <c r="H76" s="37" t="s">
        <v>29</v>
      </c>
      <c r="I76" s="54" t="s">
        <v>24</v>
      </c>
      <c r="J76" s="28">
        <f>F66</f>
        <v>11.5</v>
      </c>
      <c r="K76" s="55" t="s">
        <v>26</v>
      </c>
      <c r="L76" s="55">
        <f>(J76-G76*L78-E76*L77)/C76</f>
        <v>4</v>
      </c>
    </row>
    <row r="77" spans="1:12" ht="15.75">
      <c r="A77" s="53"/>
      <c r="B77" s="54"/>
      <c r="C77" s="28"/>
      <c r="D77" s="54"/>
      <c r="E77" s="28">
        <f>D67</f>
        <v>3</v>
      </c>
      <c r="F77" s="37" t="s">
        <v>10</v>
      </c>
      <c r="G77" s="30">
        <f>E67</f>
        <v>-2</v>
      </c>
      <c r="H77" s="37" t="s">
        <v>29</v>
      </c>
      <c r="I77" s="54" t="s">
        <v>24</v>
      </c>
      <c r="J77" s="28">
        <f>F67</f>
        <v>-10</v>
      </c>
      <c r="K77" s="55" t="s">
        <v>27</v>
      </c>
      <c r="L77" s="55">
        <f>(J77-G77*L78)/E77</f>
        <v>-3</v>
      </c>
    </row>
    <row r="78" spans="1:12" ht="15.75">
      <c r="C78" s="28"/>
      <c r="E78" s="28"/>
      <c r="G78" s="30">
        <f>E68</f>
        <v>4</v>
      </c>
      <c r="H78" s="37" t="s">
        <v>29</v>
      </c>
      <c r="I78" s="54" t="s">
        <v>24</v>
      </c>
      <c r="J78" s="28">
        <f>F68</f>
        <v>2</v>
      </c>
      <c r="K78" s="55" t="s">
        <v>37</v>
      </c>
      <c r="L78" s="55">
        <f>J78/G78</f>
        <v>0.5</v>
      </c>
    </row>
    <row r="79" spans="1:12" ht="15">
      <c r="A79" s="28"/>
      <c r="B79" s="28"/>
      <c r="C79" s="28"/>
      <c r="D79" s="28"/>
      <c r="E79" s="28"/>
      <c r="F79" s="28"/>
      <c r="G79" s="28"/>
      <c r="H79" s="28"/>
      <c r="I79" s="28"/>
      <c r="J79" s="28"/>
    </row>
  </sheetData>
  <mergeCells count="1">
    <mergeCell ref="A2:C2"/>
  </mergeCells>
  <pageMargins left="0.51456692913385826" right="0.4188976377952755" top="0.39370078740157477" bottom="0.39370078740157477" header="0" footer="0"/>
  <pageSetup paperSize="0" scale="90" fitToWidth="0" fitToHeight="0" pageOrder="overThenDown" useFirstPageNumber="1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Ex_3</vt:lpstr>
      <vt:lpstr>Ex_4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T-Gamer</dc:creator>
  <cp:lastModifiedBy>Lucas Bertinetti</cp:lastModifiedBy>
  <dcterms:created xsi:type="dcterms:W3CDTF">2015-06-05T18:19:34Z</dcterms:created>
  <dcterms:modified xsi:type="dcterms:W3CDTF">2024-09-18T01:59:03Z</dcterms:modified>
</cp:coreProperties>
</file>