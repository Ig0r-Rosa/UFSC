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083b9f244c77dc93/Biblioteca/Prof. Substituto - DEC/Disciplinas/DEC7142 Cálculo Numérico em Computadores/Material/Unidade 3/Decomposição LU/"/>
    </mc:Choice>
  </mc:AlternateContent>
  <xr:revisionPtr revIDLastSave="8" documentId="11_AD4D361C20488DEA4E38A0CB8C1B51665BDEDD8C" xr6:coauthVersionLast="47" xr6:coauthVersionMax="47" xr10:uidLastSave="{DDC6B564-7190-4B49-8855-7A4FDEDED440}"/>
  <bookViews>
    <workbookView xWindow="-108" yWindow="-108" windowWidth="23256" windowHeight="12456" activeTab="1" xr2:uid="{00000000-000D-0000-FFFF-FFFF00000000}"/>
  </bookViews>
  <sheets>
    <sheet name="Ex_1" sheetId="3" r:id="rId1"/>
    <sheet name="Ex_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4" l="1"/>
  <c r="C50" i="4"/>
  <c r="G49" i="4"/>
  <c r="C49" i="4"/>
  <c r="B49" i="4"/>
  <c r="G48" i="4"/>
  <c r="J48" i="4" s="1"/>
  <c r="G56" i="4" s="1"/>
  <c r="C48" i="4"/>
  <c r="B48" i="4"/>
  <c r="A48" i="4"/>
  <c r="F40" i="4"/>
  <c r="A49" i="4" s="1"/>
  <c r="F30" i="4"/>
  <c r="D24" i="4"/>
  <c r="D29" i="4" s="1"/>
  <c r="D34" i="4" s="1"/>
  <c r="D39" i="4" s="1"/>
  <c r="C56" i="4" s="1"/>
  <c r="C20" i="4"/>
  <c r="B20" i="4"/>
  <c r="I19" i="4"/>
  <c r="D18" i="4"/>
  <c r="C18" i="4"/>
  <c r="C24" i="4" s="1"/>
  <c r="C17" i="4"/>
  <c r="D15" i="4"/>
  <c r="D20" i="4" s="1"/>
  <c r="C15" i="4"/>
  <c r="B15" i="4"/>
  <c r="D14" i="4"/>
  <c r="C14" i="4"/>
  <c r="B14" i="4"/>
  <c r="D13" i="4"/>
  <c r="D19" i="4" s="1"/>
  <c r="D25" i="4" s="1"/>
  <c r="D30" i="4" s="1"/>
  <c r="D35" i="4" s="1"/>
  <c r="D40" i="4" s="1"/>
  <c r="C57" i="4" s="1"/>
  <c r="C13" i="4"/>
  <c r="C19" i="4" s="1"/>
  <c r="C25" i="4" s="1"/>
  <c r="C30" i="4" s="1"/>
  <c r="C35" i="4" s="1"/>
  <c r="C40" i="4" s="1"/>
  <c r="B57" i="4" s="1"/>
  <c r="B13" i="4"/>
  <c r="B18" i="4" s="1"/>
  <c r="B24" i="4" s="1"/>
  <c r="G50" i="3"/>
  <c r="C50" i="3"/>
  <c r="G49" i="3"/>
  <c r="C49" i="3"/>
  <c r="B49" i="3"/>
  <c r="G48" i="3"/>
  <c r="J48" i="3" s="1"/>
  <c r="G56" i="3" s="1"/>
  <c r="C48" i="3"/>
  <c r="B48" i="3"/>
  <c r="A48" i="3"/>
  <c r="F40" i="3"/>
  <c r="A49" i="3" s="1"/>
  <c r="F30" i="3"/>
  <c r="D24" i="3"/>
  <c r="D29" i="3" s="1"/>
  <c r="D34" i="3" s="1"/>
  <c r="D39" i="3" s="1"/>
  <c r="C56" i="3" s="1"/>
  <c r="C20" i="3"/>
  <c r="B20" i="3"/>
  <c r="I19" i="3"/>
  <c r="D18" i="3"/>
  <c r="C18" i="3"/>
  <c r="C24" i="3" s="1"/>
  <c r="C17" i="3"/>
  <c r="D15" i="3"/>
  <c r="D20" i="3" s="1"/>
  <c r="C15" i="3"/>
  <c r="B15" i="3"/>
  <c r="D14" i="3"/>
  <c r="C14" i="3"/>
  <c r="B14" i="3"/>
  <c r="D13" i="3"/>
  <c r="D19" i="3" s="1"/>
  <c r="D25" i="3" s="1"/>
  <c r="D30" i="3" s="1"/>
  <c r="D35" i="3" s="1"/>
  <c r="D40" i="3" s="1"/>
  <c r="C57" i="3" s="1"/>
  <c r="C13" i="3"/>
  <c r="C19" i="3" s="1"/>
  <c r="C25" i="3" s="1"/>
  <c r="C30" i="3" s="1"/>
  <c r="C35" i="3" s="1"/>
  <c r="C40" i="3" s="1"/>
  <c r="B57" i="3" s="1"/>
  <c r="B13" i="3"/>
  <c r="B18" i="3" s="1"/>
  <c r="B24" i="3" s="1"/>
  <c r="C29" i="4" l="1"/>
  <c r="C34" i="4" s="1"/>
  <c r="C39" i="4" s="1"/>
  <c r="B56" i="4" s="1"/>
  <c r="J49" i="4"/>
  <c r="G57" i="4" s="1"/>
  <c r="C23" i="4"/>
  <c r="B29" i="4"/>
  <c r="B34" i="4" s="1"/>
  <c r="B39" i="4" s="1"/>
  <c r="A56" i="4" s="1"/>
  <c r="B26" i="4"/>
  <c r="B31" i="4" s="1"/>
  <c r="B19" i="4"/>
  <c r="B25" i="4" s="1"/>
  <c r="B30" i="4" s="1"/>
  <c r="B35" i="4" s="1"/>
  <c r="B40" i="4" s="1"/>
  <c r="A57" i="4" s="1"/>
  <c r="C23" i="3"/>
  <c r="D26" i="3"/>
  <c r="D31" i="3" s="1"/>
  <c r="C26" i="3"/>
  <c r="C31" i="3" s="1"/>
  <c r="C29" i="3"/>
  <c r="C34" i="3" s="1"/>
  <c r="C39" i="3" s="1"/>
  <c r="B56" i="3" s="1"/>
  <c r="B29" i="3"/>
  <c r="B34" i="3" s="1"/>
  <c r="B39" i="3" s="1"/>
  <c r="A56" i="3" s="1"/>
  <c r="B26" i="3"/>
  <c r="B31" i="3" s="1"/>
  <c r="J49" i="3"/>
  <c r="G57" i="3" s="1"/>
  <c r="B19" i="3"/>
  <c r="B25" i="3" s="1"/>
  <c r="B30" i="3" s="1"/>
  <c r="B35" i="3" s="1"/>
  <c r="B40" i="3" s="1"/>
  <c r="A57" i="3" s="1"/>
  <c r="F31" i="4" l="1"/>
  <c r="F41" i="4" s="1"/>
  <c r="A50" i="4" s="1"/>
  <c r="I26" i="4"/>
  <c r="D26" i="4"/>
  <c r="D31" i="4" s="1"/>
  <c r="C26" i="4"/>
  <c r="C31" i="4" s="1"/>
  <c r="C33" i="3"/>
  <c r="C36" i="3" s="1"/>
  <c r="C41" i="3" s="1"/>
  <c r="B58" i="3" s="1"/>
  <c r="I26" i="3"/>
  <c r="F31" i="3"/>
  <c r="F41" i="3" s="1"/>
  <c r="A50" i="3" s="1"/>
  <c r="C33" i="4" l="1"/>
  <c r="D36" i="4"/>
  <c r="D41" i="4" s="1"/>
  <c r="C58" i="4" s="1"/>
  <c r="I36" i="3"/>
  <c r="G41" i="3"/>
  <c r="B50" i="3" s="1"/>
  <c r="J50" i="3" s="1"/>
  <c r="G58" i="3" s="1"/>
  <c r="J58" i="3" s="1"/>
  <c r="B36" i="3"/>
  <c r="B41" i="3" s="1"/>
  <c r="A58" i="3" s="1"/>
  <c r="D36" i="3"/>
  <c r="D41" i="3" s="1"/>
  <c r="C58" i="3" s="1"/>
  <c r="I36" i="4" l="1"/>
  <c r="G41" i="4"/>
  <c r="B50" i="4" s="1"/>
  <c r="J50" i="4" s="1"/>
  <c r="G58" i="4" s="1"/>
  <c r="J58" i="4" s="1"/>
  <c r="B36" i="4"/>
  <c r="B41" i="4" s="1"/>
  <c r="A58" i="4" s="1"/>
  <c r="C36" i="4"/>
  <c r="C41" i="4" s="1"/>
  <c r="B58" i="4" s="1"/>
  <c r="K8" i="3"/>
  <c r="J57" i="3"/>
  <c r="K7" i="3" s="1"/>
  <c r="K8" i="4" l="1"/>
  <c r="J57" i="4"/>
  <c r="K7" i="4" s="1"/>
  <c r="J56" i="3"/>
  <c r="K6" i="3" s="1"/>
  <c r="M6" i="3" s="1" a="1"/>
  <c r="J56" i="4" l="1"/>
  <c r="K6" i="4" s="1"/>
  <c r="M6" i="4" s="1" a="1"/>
  <c r="M6" i="3"/>
  <c r="N6" i="3" s="1"/>
  <c r="M8" i="3"/>
  <c r="N8" i="3" s="1"/>
  <c r="M7" i="3"/>
  <c r="N7" i="3" s="1"/>
  <c r="M8" i="4" l="1"/>
  <c r="N8" i="4" s="1"/>
  <c r="M6" i="4"/>
  <c r="N6" i="4" s="1"/>
  <c r="M7" i="4"/>
  <c r="N7" i="4" s="1"/>
</calcChain>
</file>

<file path=xl/sharedStrings.xml><?xml version="1.0" encoding="utf-8"?>
<sst xmlns="http://schemas.openxmlformats.org/spreadsheetml/2006/main" count="112" uniqueCount="44">
  <si>
    <r>
      <rPr>
        <b/>
        <sz val="11"/>
        <color rgb="FF0000CC"/>
        <rFont val="Liberation Sans"/>
      </rPr>
      <t>Exercício 1</t>
    </r>
    <r>
      <rPr>
        <sz val="12"/>
        <color theme="1"/>
        <rFont val="Liberation Sans1"/>
      </rPr>
      <t>: Resolver o sistema linear a seguir usando a fatoração LU:</t>
    </r>
  </si>
  <si>
    <r>
      <rPr>
        <b/>
        <sz val="11"/>
        <color rgb="FF009900"/>
        <rFont val="Liberation Sans"/>
      </rPr>
      <t>1a etapa:</t>
    </r>
    <r>
      <rPr>
        <sz val="12"/>
        <color theme="1"/>
        <rFont val="Liberation Sans1"/>
      </rPr>
      <t xml:space="preserve"> Matriz A</t>
    </r>
  </si>
  <si>
    <t>A</t>
  </si>
  <si>
    <t>b</t>
  </si>
  <si>
    <t>X</t>
  </si>
  <si>
    <t>Resultado</t>
  </si>
  <si>
    <r>
      <rPr>
        <b/>
        <sz val="11"/>
        <color rgb="FF009900"/>
        <rFont val="Liberation Sans"/>
      </rPr>
      <t>2</t>
    </r>
    <r>
      <rPr>
        <b/>
        <vertAlign val="superscript"/>
        <sz val="11"/>
        <color rgb="FF009900"/>
        <rFont val="Liberation Sans"/>
      </rPr>
      <t>a</t>
    </r>
    <r>
      <rPr>
        <b/>
        <sz val="11"/>
        <color rgb="FF009900"/>
        <rFont val="Liberation Sans"/>
      </rPr>
      <t xml:space="preserve"> etapa:</t>
    </r>
    <r>
      <rPr>
        <sz val="12"/>
        <color theme="1"/>
        <rFont val="Liberation Sans1"/>
      </rPr>
      <t xml:space="preserve"> Triangulação e construção de matrizes L e U:</t>
    </r>
  </si>
  <si>
    <t>passo 1: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</si>
  <si>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21</t>
    </r>
    <r>
      <rPr>
        <sz val="6.8"/>
        <color theme="1"/>
        <rFont val="Liberation Sans"/>
      </rPr>
      <t xml:space="preserve"> = a</t>
    </r>
    <r>
      <rPr>
        <b/>
        <vertAlign val="subscript"/>
        <sz val="12"/>
        <color theme="1"/>
        <rFont val="Liberation Sans"/>
      </rPr>
      <t>21</t>
    </r>
    <r>
      <rPr>
        <sz val="6.8"/>
        <color theme="1"/>
        <rFont val="Liberation Sans"/>
      </rPr>
      <t xml:space="preserve"> /a</t>
    </r>
    <r>
      <rPr>
        <b/>
        <vertAlign val="subscript"/>
        <sz val="12"/>
        <color theme="1"/>
        <rFont val="Liberation Sans"/>
      </rPr>
      <t>11</t>
    </r>
  </si>
  <si>
    <r>
      <t>m</t>
    </r>
    <r>
      <rPr>
        <vertAlign val="subscript"/>
        <sz val="11"/>
        <color theme="1"/>
        <rFont val="Liberation Sans"/>
      </rPr>
      <t>21</t>
    </r>
    <r>
      <rPr>
        <b/>
        <sz val="12"/>
        <color rgb="FFFF6600"/>
        <rFont val="Liberation Sans"/>
      </rPr>
      <t>=</t>
    </r>
  </si>
  <si>
    <t>M</t>
  </si>
  <si>
    <t>E2 = E2 −</t>
  </si>
  <si>
    <t xml:space="preserve"> E1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</si>
  <si>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3</t>
    </r>
    <r>
      <rPr>
        <b/>
        <vertAlign val="subscript"/>
        <sz val="12"/>
        <color rgb="FFFF6600"/>
        <rFont val="Liberation Sans"/>
      </rPr>
      <t>1</t>
    </r>
    <r>
      <rPr>
        <b/>
        <sz val="12"/>
        <color theme="1"/>
        <rFont val="Liberation Sans"/>
      </rPr>
      <t xml:space="preserve"> = a</t>
    </r>
    <r>
      <rPr>
        <vertAlign val="subscript"/>
        <sz val="11"/>
        <color theme="1"/>
        <rFont val="Liberation Sans"/>
      </rPr>
      <t>3</t>
    </r>
    <r>
      <rPr>
        <b/>
        <vertAlign val="subscript"/>
        <sz val="12"/>
        <color theme="1"/>
        <rFont val="Liberation Sans"/>
      </rPr>
      <t>1</t>
    </r>
    <r>
      <rPr>
        <b/>
        <sz val="12"/>
        <color theme="1"/>
        <rFont val="Liberation Sans"/>
      </rPr>
      <t xml:space="preserve"> /a</t>
    </r>
    <r>
      <rPr>
        <b/>
        <vertAlign val="subscript"/>
        <sz val="12"/>
        <color theme="1"/>
        <rFont val="Liberation Sans"/>
      </rPr>
      <t>11</t>
    </r>
  </si>
  <si>
    <r>
      <t>m</t>
    </r>
    <r>
      <rPr>
        <vertAlign val="subscript"/>
        <sz val="11"/>
        <color theme="1"/>
        <rFont val="Liberation Sans"/>
      </rPr>
      <t>31</t>
    </r>
    <r>
      <rPr>
        <b/>
        <sz val="12"/>
        <color rgb="FFFF6600"/>
        <rFont val="Liberation Sans"/>
      </rPr>
      <t>=</t>
    </r>
  </si>
  <si>
    <t>E3 = E3 −</t>
  </si>
  <si>
    <t>E1</t>
  </si>
  <si>
    <t>passo 2:</t>
  </si>
  <si>
    <t>U</t>
  </si>
  <si>
    <t>L</t>
  </si>
  <si>
    <r>
      <rPr>
        <b/>
        <sz val="12"/>
        <color rgb="FFFF6600"/>
        <rFont val="Liberation Sans"/>
      </rPr>
      <t>m</t>
    </r>
    <r>
      <rPr>
        <b/>
        <vertAlign val="subscript"/>
        <sz val="12"/>
        <color rgb="FFFF6600"/>
        <rFont val="Liberation Sans"/>
      </rPr>
      <t>32</t>
    </r>
    <r>
      <rPr>
        <sz val="6.8"/>
        <color theme="1"/>
        <rFont val="Liberation Sans"/>
      </rPr>
      <t xml:space="preserve"> = a'</t>
    </r>
    <r>
      <rPr>
        <b/>
        <vertAlign val="subscript"/>
        <sz val="12"/>
        <color theme="1"/>
        <rFont val="Liberation Sans"/>
      </rPr>
      <t>32</t>
    </r>
    <r>
      <rPr>
        <sz val="6.8"/>
        <color theme="1"/>
        <rFont val="Liberation Sans"/>
      </rPr>
      <t xml:space="preserve"> /a'</t>
    </r>
    <r>
      <rPr>
        <b/>
        <vertAlign val="subscript"/>
        <sz val="12"/>
        <color theme="1"/>
        <rFont val="Liberation Sans"/>
      </rPr>
      <t>22</t>
    </r>
  </si>
  <si>
    <r>
      <t>m</t>
    </r>
    <r>
      <rPr>
        <vertAlign val="subscript"/>
        <sz val="11"/>
        <color theme="1"/>
        <rFont val="Liberation Sans"/>
      </rPr>
      <t>32</t>
    </r>
    <r>
      <rPr>
        <b/>
        <sz val="12"/>
        <color rgb="FFFF6600"/>
        <rFont val="Liberation Sans"/>
      </rPr>
      <t>=</t>
    </r>
  </si>
  <si>
    <t xml:space="preserve"> E2</t>
  </si>
  <si>
    <t>Matrizes</t>
  </si>
  <si>
    <r>
      <rPr>
        <b/>
        <sz val="12"/>
        <color rgb="FF009933"/>
        <rFont val="Liberation Sans"/>
      </rPr>
      <t>3</t>
    </r>
    <r>
      <rPr>
        <b/>
        <vertAlign val="superscript"/>
        <sz val="12"/>
        <color rgb="FF009933"/>
        <rFont val="Liberation Sans"/>
      </rPr>
      <t>a</t>
    </r>
    <r>
      <rPr>
        <b/>
        <sz val="12"/>
        <color rgb="FF009933"/>
        <rFont val="Liberation Sans"/>
      </rPr>
      <t xml:space="preserve"> etapa</t>
    </r>
    <r>
      <rPr>
        <b/>
        <sz val="12"/>
        <color theme="1"/>
        <rFont val="Liberation Sans"/>
      </rPr>
      <t>:</t>
    </r>
    <r>
      <rPr>
        <sz val="12"/>
        <color theme="1"/>
        <rFont val="Liberation Sans"/>
      </rPr>
      <t xml:space="preserve"> Retro-substituição:</t>
    </r>
  </si>
  <si>
    <r>
      <t xml:space="preserve">Para resolvermos o sistema Ax = (2, 3, 0) </t>
    </r>
    <r>
      <rPr>
        <vertAlign val="superscript"/>
        <sz val="11"/>
        <color theme="1"/>
        <rFont val="Liberation Sans"/>
      </rPr>
      <t>T</t>
    </r>
    <r>
      <rPr>
        <b/>
        <sz val="12"/>
        <color theme="1"/>
        <rFont val="Liberation Sans2"/>
      </rPr>
      <t xml:space="preserve"> , resolvemos Ly = b</t>
    </r>
  </si>
  <si>
    <t>y</t>
  </si>
  <si>
    <t>y1</t>
  </si>
  <si>
    <t>y1=</t>
  </si>
  <si>
    <t>*</t>
  </si>
  <si>
    <t>y2</t>
  </si>
  <si>
    <t>=</t>
  </si>
  <si>
    <t>y2=</t>
  </si>
  <si>
    <t>y3</t>
  </si>
  <si>
    <t>y3=</t>
  </si>
  <si>
    <t>e, com estes valores, calculamos x através de Ux = y</t>
  </si>
  <si>
    <t>x</t>
  </si>
  <si>
    <t>x1</t>
  </si>
  <si>
    <t>x1=</t>
  </si>
  <si>
    <t>x2</t>
  </si>
  <si>
    <t>x2=</t>
  </si>
  <si>
    <t>x3</t>
  </si>
  <si>
    <t>x3=</t>
  </si>
  <si>
    <r>
      <rPr>
        <b/>
        <sz val="11"/>
        <color rgb="FF0000CC"/>
        <rFont val="Liberation Sans"/>
      </rPr>
      <t>Exercício 2</t>
    </r>
    <r>
      <rPr>
        <sz val="12"/>
        <color theme="1"/>
        <rFont val="Liberation Sans1"/>
      </rPr>
      <t>: Resolver o sistema linear a seguir usando a fatoração LU: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</si>
</sst>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Liberation Sans"/>
    </font>
    <font>
      <sz val="12"/>
      <color theme="1"/>
      <name val="Liberation Sans1"/>
    </font>
    <font>
      <b/>
      <sz val="11"/>
      <color rgb="FF0000CC"/>
      <name val="Liberation Sans"/>
    </font>
    <font>
      <sz val="12"/>
      <color theme="1"/>
      <name val="Liberation Sans2"/>
    </font>
    <font>
      <sz val="12"/>
      <color rgb="FF000000"/>
      <name val="Liberation Sans2"/>
    </font>
    <font>
      <b/>
      <sz val="11"/>
      <color rgb="FF009900"/>
      <name val="Liberation Sans"/>
    </font>
    <font>
      <b/>
      <sz val="12"/>
      <color theme="1"/>
      <name val="Liberation Sans2"/>
    </font>
    <font>
      <b/>
      <sz val="12"/>
      <color theme="1"/>
      <name val="Liberation Sans"/>
    </font>
    <font>
      <sz val="12"/>
      <color theme="1"/>
      <name val="Liberation Sans"/>
    </font>
    <font>
      <b/>
      <vertAlign val="superscript"/>
      <sz val="11"/>
      <color rgb="FF009900"/>
      <name val="Liberation Sans"/>
    </font>
    <font>
      <sz val="6.8"/>
      <color theme="1"/>
      <name val="Liberation Sans"/>
    </font>
    <font>
      <b/>
      <sz val="12"/>
      <color rgb="FFFF6600"/>
      <name val="Liberation Sans"/>
    </font>
    <font>
      <b/>
      <vertAlign val="subscript"/>
      <sz val="12"/>
      <color rgb="FFFF6600"/>
      <name val="Liberation Sans"/>
    </font>
    <font>
      <b/>
      <vertAlign val="subscript"/>
      <sz val="12"/>
      <color theme="1"/>
      <name val="Liberation Sans"/>
    </font>
    <font>
      <vertAlign val="subscript"/>
      <sz val="11"/>
      <color theme="1"/>
      <name val="Liberation Sans"/>
    </font>
    <font>
      <b/>
      <sz val="12"/>
      <color rgb="FF0000CC"/>
      <name val="Liberation Sans"/>
    </font>
    <font>
      <b/>
      <sz val="11"/>
      <color theme="1"/>
      <name val="Liberation Sans"/>
    </font>
    <font>
      <b/>
      <sz val="12"/>
      <color rgb="FF009933"/>
      <name val="Liberation Sans"/>
    </font>
    <font>
      <b/>
      <vertAlign val="superscript"/>
      <sz val="12"/>
      <color rgb="FF009933"/>
      <name val="Liberation Sans"/>
    </font>
    <font>
      <vertAlign val="superscript"/>
      <sz val="11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FE7F5"/>
        <bgColor rgb="FFCFE7F5"/>
      </patternFill>
    </fill>
    <fill>
      <patternFill patternType="solid">
        <fgColor rgb="FFCCFF00"/>
        <bgColor rgb="FFCCFF00"/>
      </patternFill>
    </fill>
    <fill>
      <patternFill patternType="solid">
        <fgColor rgb="FFDDDDDD"/>
        <bgColor rgb="FFDDDDDD"/>
      </patternFill>
    </fill>
    <fill>
      <patternFill patternType="solid">
        <fgColor rgb="FFFF9900"/>
        <bgColor rgb="FFFF9900"/>
      </patternFill>
    </fill>
    <fill>
      <patternFill patternType="solid">
        <fgColor rgb="FFFFCC00"/>
        <bgColor rgb="FFFFCC00"/>
      </patternFill>
    </fill>
    <fill>
      <patternFill patternType="solid">
        <fgColor rgb="FFCCFF99"/>
        <bgColor rgb="FFCC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2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1" fillId="0" borderId="0" xfId="1"/>
    <xf numFmtId="0" fontId="7" fillId="0" borderId="0" xfId="1" applyFont="1"/>
    <xf numFmtId="0" fontId="8" fillId="0" borderId="0" xfId="1" applyFont="1" applyAlignment="1">
      <alignment horizontal="center"/>
    </xf>
    <xf numFmtId="0" fontId="4" fillId="2" borderId="1" xfId="1" applyFont="1" applyFill="1" applyBorder="1"/>
    <xf numFmtId="0" fontId="4" fillId="3" borderId="1" xfId="1" applyFont="1" applyFill="1" applyBorder="1"/>
    <xf numFmtId="1" fontId="9" fillId="0" borderId="1" xfId="1" applyNumberFormat="1" applyFont="1" applyBorder="1" applyAlignment="1">
      <alignment horizontal="center"/>
    </xf>
    <xf numFmtId="0" fontId="9" fillId="4" borderId="1" xfId="1" applyFont="1" applyFill="1" applyBorder="1"/>
    <xf numFmtId="0" fontId="8" fillId="5" borderId="0" xfId="1" applyFont="1" applyFill="1"/>
    <xf numFmtId="0" fontId="1" fillId="5" borderId="0" xfId="1" applyFill="1"/>
    <xf numFmtId="0" fontId="4" fillId="5" borderId="0" xfId="1" applyFont="1" applyFill="1"/>
    <xf numFmtId="0" fontId="4" fillId="6" borderId="1" xfId="1" applyFont="1" applyFill="1" applyBorder="1"/>
    <xf numFmtId="0" fontId="11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4" fillId="7" borderId="0" xfId="1" applyFont="1" applyFill="1"/>
    <xf numFmtId="0" fontId="4" fillId="8" borderId="1" xfId="1" applyFont="1" applyFill="1" applyBorder="1"/>
    <xf numFmtId="0" fontId="8" fillId="0" borderId="0" xfId="1" applyFont="1" applyAlignment="1">
      <alignment horizontal="left"/>
    </xf>
    <xf numFmtId="2" fontId="16" fillId="0" borderId="0" xfId="1" applyNumberFormat="1" applyFont="1"/>
    <xf numFmtId="11" fontId="7" fillId="0" borderId="0" xfId="1" applyNumberFormat="1" applyFont="1"/>
    <xf numFmtId="0" fontId="17" fillId="5" borderId="0" xfId="1" applyFont="1" applyFill="1" applyAlignment="1">
      <alignment horizontal="center"/>
    </xf>
    <xf numFmtId="0" fontId="7" fillId="5" borderId="0" xfId="1" applyFont="1" applyFill="1" applyAlignment="1">
      <alignment horizontal="center"/>
    </xf>
    <xf numFmtId="0" fontId="4" fillId="5" borderId="1" xfId="1" applyFont="1" applyFill="1" applyBorder="1"/>
    <xf numFmtId="0" fontId="8" fillId="7" borderId="0" xfId="1" applyFont="1" applyFill="1"/>
    <xf numFmtId="0" fontId="1" fillId="7" borderId="0" xfId="1" applyFill="1"/>
    <xf numFmtId="0" fontId="17" fillId="7" borderId="0" xfId="1" applyFont="1" applyFill="1" applyAlignment="1">
      <alignment horizontal="center"/>
    </xf>
    <xf numFmtId="0" fontId="7" fillId="7" borderId="0" xfId="1" applyFont="1" applyFill="1" applyAlignment="1">
      <alignment horizontal="center"/>
    </xf>
    <xf numFmtId="2" fontId="4" fillId="2" borderId="1" xfId="1" applyNumberFormat="1" applyFont="1" applyFill="1" applyBorder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9" fillId="0" borderId="0" xfId="1" applyFont="1"/>
    <xf numFmtId="0" fontId="9" fillId="2" borderId="1" xfId="1" applyFont="1" applyFill="1" applyBorder="1"/>
    <xf numFmtId="0" fontId="9" fillId="8" borderId="1" xfId="1" applyFont="1" applyFill="1" applyBorder="1"/>
    <xf numFmtId="0" fontId="9" fillId="3" borderId="1" xfId="1" applyFont="1" applyFill="1" applyBorder="1"/>
    <xf numFmtId="0" fontId="8" fillId="7" borderId="1" xfId="1" applyFont="1" applyFill="1" applyBorder="1"/>
    <xf numFmtId="2" fontId="9" fillId="2" borderId="1" xfId="1" applyNumberFormat="1" applyFont="1" applyFill="1" applyBorder="1"/>
    <xf numFmtId="2" fontId="8" fillId="7" borderId="1" xfId="1" applyNumberFormat="1" applyFont="1" applyFill="1" applyBorder="1"/>
    <xf numFmtId="0" fontId="8" fillId="0" borderId="0" xfId="1" applyFont="1"/>
    <xf numFmtId="1" fontId="8" fillId="7" borderId="1" xfId="1" applyNumberFormat="1" applyFont="1" applyFill="1" applyBorder="1"/>
    <xf numFmtId="0" fontId="2" fillId="0" borderId="0" xfId="2" applyFont="1" applyAlignment="1">
      <alignment horizontal="left"/>
    </xf>
    <xf numFmtId="0" fontId="4" fillId="0" borderId="0" xfId="2" applyFont="1"/>
    <xf numFmtId="0" fontId="5" fillId="0" borderId="0" xfId="2" applyFont="1"/>
    <xf numFmtId="0" fontId="1" fillId="0" borderId="0" xfId="2"/>
    <xf numFmtId="0" fontId="1" fillId="0" borderId="0" xfId="2"/>
    <xf numFmtId="0" fontId="7" fillId="0" borderId="0" xfId="2" applyFont="1"/>
    <xf numFmtId="0" fontId="8" fillId="0" borderId="0" xfId="2" applyFont="1" applyAlignment="1">
      <alignment horizontal="center"/>
    </xf>
    <xf numFmtId="0" fontId="4" fillId="2" borderId="1" xfId="2" applyFont="1" applyFill="1" applyBorder="1"/>
    <xf numFmtId="0" fontId="4" fillId="3" borderId="1" xfId="2" applyFont="1" applyFill="1" applyBorder="1"/>
    <xf numFmtId="1" fontId="9" fillId="0" borderId="1" xfId="2" applyNumberFormat="1" applyFont="1" applyBorder="1" applyAlignment="1">
      <alignment horizontal="center"/>
    </xf>
    <xf numFmtId="0" fontId="9" fillId="4" borderId="1" xfId="2" applyFont="1" applyFill="1" applyBorder="1"/>
    <xf numFmtId="0" fontId="8" fillId="5" borderId="0" xfId="2" applyFont="1" applyFill="1"/>
    <xf numFmtId="0" fontId="1" fillId="5" borderId="0" xfId="2" applyFill="1"/>
    <xf numFmtId="0" fontId="4" fillId="5" borderId="0" xfId="2" applyFont="1" applyFill="1"/>
    <xf numFmtId="0" fontId="4" fillId="6" borderId="1" xfId="2" applyFont="1" applyFill="1" applyBorder="1"/>
    <xf numFmtId="0" fontId="11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4" fillId="7" borderId="0" xfId="2" applyFont="1" applyFill="1"/>
    <xf numFmtId="0" fontId="4" fillId="8" borderId="1" xfId="2" applyFont="1" applyFill="1" applyBorder="1"/>
    <xf numFmtId="0" fontId="8" fillId="0" borderId="0" xfId="2" applyFont="1" applyAlignment="1">
      <alignment horizontal="left"/>
    </xf>
    <xf numFmtId="0" fontId="16" fillId="0" borderId="0" xfId="2" applyFont="1"/>
    <xf numFmtId="11" fontId="7" fillId="0" borderId="0" xfId="2" applyNumberFormat="1" applyFont="1"/>
    <xf numFmtId="0" fontId="17" fillId="5" borderId="0" xfId="2" applyFont="1" applyFill="1" applyAlignment="1">
      <alignment horizontal="center"/>
    </xf>
    <xf numFmtId="0" fontId="7" fillId="5" borderId="0" xfId="2" applyFont="1" applyFill="1" applyAlignment="1">
      <alignment horizontal="center"/>
    </xf>
    <xf numFmtId="0" fontId="4" fillId="5" borderId="1" xfId="2" applyFont="1" applyFill="1" applyBorder="1"/>
    <xf numFmtId="2" fontId="4" fillId="8" borderId="1" xfId="2" applyNumberFormat="1" applyFont="1" applyFill="1" applyBorder="1"/>
    <xf numFmtId="2" fontId="16" fillId="0" borderId="0" xfId="2" applyNumberFormat="1" applyFont="1"/>
    <xf numFmtId="0" fontId="8" fillId="7" borderId="0" xfId="2" applyFont="1" applyFill="1"/>
    <xf numFmtId="0" fontId="1" fillId="7" borderId="0" xfId="2" applyFill="1"/>
    <xf numFmtId="0" fontId="17" fillId="7" borderId="0" xfId="2" applyFont="1" applyFill="1" applyAlignment="1">
      <alignment horizontal="center"/>
    </xf>
    <xf numFmtId="0" fontId="7" fillId="7" borderId="0" xfId="2" applyFont="1" applyFill="1" applyAlignment="1">
      <alignment horizontal="center"/>
    </xf>
    <xf numFmtId="2" fontId="4" fillId="2" borderId="1" xfId="2" applyNumberFormat="1" applyFont="1" applyFill="1" applyBorder="1"/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8" fillId="7" borderId="1" xfId="2" applyFont="1" applyFill="1" applyBorder="1"/>
    <xf numFmtId="2" fontId="8" fillId="7" borderId="1" xfId="2" applyNumberFormat="1" applyFont="1" applyFill="1" applyBorder="1"/>
    <xf numFmtId="0" fontId="9" fillId="0" borderId="0" xfId="2" applyFont="1"/>
    <xf numFmtId="0" fontId="8" fillId="0" borderId="0" xfId="2" applyFont="1"/>
  </cellXfs>
  <cellStyles count="3">
    <cellStyle name="Normal" xfId="0" builtinId="0"/>
    <cellStyle name="Normal 2" xfId="1" xr:uid="{EAAC866B-ADC2-4480-8493-F46E78F7CA74}"/>
    <cellStyle name="Normal 3" xfId="2" xr:uid="{2098BD9D-9645-4C56-86DD-8A070EE56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190440"/>
    <xdr:ext cx="122508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8764619-D07A-43D8-9D12-E80293D8884A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0440"/>
              <a:ext cx="12250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pt-BR">
                                  <a:latin typeface="Cambria Math" panose="02040503050406030204" pitchFamily="18" charset="0"/>
                                </a:rPr>
                                <m:t>3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+4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=1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=2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+3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=3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8764619-D07A-43D8-9D12-E80293D8884A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0440"/>
              <a:ext cx="12250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3𝑥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2+4𝑥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3=1@𝑥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3=2@4𝑥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1+3𝑥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3=3)┤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198000"/>
    <xdr:ext cx="1091880" cy="6490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6AC0F94-0BB2-46F9-9C18-28AF418027F6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8000"/>
              <a:ext cx="10918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pt-BR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pt-BR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+2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=4</m:t>
                              </m:r>
                            </m:e>
                          </m:mr>
                          <m:mr>
                            <m:e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=0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sSub>
                                <m:sSubPr>
                                  <m:ctrlPr>
                                    <a:rPr lang="pt-BR" i="1">
                                      <a:solidFill>
                                        <a:srgbClr val="836967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t-BR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t-BR" i="0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b>
                              </m:sSub>
                              <m:r>
                                <a:rPr lang="pt-BR" i="0">
                                  <a:latin typeface="Cambria Math" panose="02040503050406030204" pitchFamily="18" charset="0"/>
                                </a:rPr>
                                <m:t>=−1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pt-BR"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6AC0F94-0BB2-46F9-9C18-28AF418027F6}"/>
                </a:ext>
              </a:extLst>
            </xdr:cNvPr>
            <xdr:cNvSpPr txBox="1">
              <a:spLocks noResize="1"/>
            </xdr:cNvSpPr>
          </xdr:nvSpPr>
          <xdr:spPr>
            <a:xfrm>
              <a:off x="0" y="198000"/>
              <a:ext cx="1091880" cy="64908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{■(</a:t>
              </a:r>
              <a:r>
                <a:rPr lang="pt-BR" i="0">
                  <a:latin typeface="Cambria Math" panose="02040503050406030204" pitchFamily="18" charset="0"/>
                </a:rPr>
                <a:t>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1+𝑥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2+2𝑥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3=4@2𝑥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3=0@𝑥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1−𝑥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2−𝑥</a:t>
              </a:r>
              <a:r>
                <a:rPr lang="pt-BR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i="0">
                  <a:latin typeface="Cambria Math" panose="02040503050406030204" pitchFamily="18" charset="0"/>
                </a:rPr>
                <a:t>3=−1)┤</a:t>
              </a:r>
              <a:endParaRPr lang="pt-BR"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A7C9-BFF1-4E67-9D73-276FA5E05DAE}">
  <sheetPr codeName="Planilha1"/>
  <dimension ref="A1:N58"/>
  <sheetViews>
    <sheetView workbookViewId="0">
      <selection activeCell="H4" sqref="H4"/>
    </sheetView>
  </sheetViews>
  <sheetFormatPr defaultRowHeight="13.8"/>
  <cols>
    <col min="1" max="1" width="7.33203125" style="4" customWidth="1"/>
    <col min="2" max="2" width="6.109375" style="4" customWidth="1"/>
    <col min="3" max="3" width="6.21875" style="4" customWidth="1"/>
    <col min="4" max="4" width="6.88671875" style="4" customWidth="1"/>
    <col min="5" max="5" width="6.5546875" style="4" customWidth="1"/>
    <col min="6" max="6" width="5" style="4" customWidth="1"/>
    <col min="7" max="7" width="6.109375" style="4" customWidth="1"/>
    <col min="8" max="8" width="6.88671875" style="4" customWidth="1"/>
    <col min="9" max="9" width="7.88671875" style="4" customWidth="1"/>
    <col min="10" max="10" width="11.88671875" style="4" customWidth="1"/>
    <col min="11" max="11" width="9.109375" style="4" customWidth="1"/>
    <col min="12" max="12" width="5.77734375" style="4" customWidth="1"/>
    <col min="13" max="13" width="7.21875" style="4" customWidth="1"/>
    <col min="14" max="14" width="11.88671875" style="4" customWidth="1"/>
    <col min="15" max="16384" width="8.88671875" style="4"/>
  </cols>
  <sheetData>
    <row r="1" spans="1:14" ht="15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</row>
    <row r="2" spans="1:14" ht="52.35" customHeight="1">
      <c r="A2" s="5"/>
      <c r="B2" s="5"/>
      <c r="C2" s="5"/>
      <c r="D2" s="2"/>
      <c r="E2" s="2"/>
      <c r="F2" s="2"/>
      <c r="G2" s="2"/>
      <c r="H2" s="2"/>
      <c r="I2" s="2"/>
      <c r="J2" s="2"/>
    </row>
    <row r="3" spans="1:14" ht="15">
      <c r="F3" s="2"/>
      <c r="G3" s="2"/>
      <c r="H3" s="2"/>
      <c r="I3" s="2"/>
      <c r="J3" s="2"/>
    </row>
    <row r="4" spans="1:14" ht="15">
      <c r="A4" s="1" t="s">
        <v>1</v>
      </c>
      <c r="F4" s="2"/>
      <c r="G4" s="2"/>
      <c r="H4" s="2"/>
      <c r="I4" s="2"/>
      <c r="J4" s="2"/>
    </row>
    <row r="5" spans="1:14" ht="15.6">
      <c r="A5" s="2"/>
      <c r="B5" s="2"/>
      <c r="C5" s="6" t="s">
        <v>2</v>
      </c>
      <c r="D5" s="6"/>
      <c r="F5" s="2"/>
      <c r="G5" s="2"/>
      <c r="H5" s="2"/>
      <c r="I5" s="6" t="s">
        <v>3</v>
      </c>
      <c r="J5" s="2"/>
      <c r="K5" s="7" t="s">
        <v>4</v>
      </c>
      <c r="M5" s="4" t="s">
        <v>5</v>
      </c>
    </row>
    <row r="6" spans="1:14" ht="15">
      <c r="A6" s="2"/>
      <c r="B6" s="8">
        <v>3</v>
      </c>
      <c r="C6" s="8">
        <v>2</v>
      </c>
      <c r="D6" s="8">
        <v>4</v>
      </c>
      <c r="F6" s="2"/>
      <c r="G6" s="2"/>
      <c r="H6" s="2"/>
      <c r="I6" s="9">
        <v>1</v>
      </c>
      <c r="J6" s="2"/>
      <c r="K6" s="10">
        <f>J56</f>
        <v>-3</v>
      </c>
      <c r="M6" s="11">
        <f t="array" ref="M6:M8">MMULT(B6:D8,K6:K8)</f>
        <v>1</v>
      </c>
      <c r="N6" s="4" t="str">
        <f>IF(I6=M6, "OK", "!!!")</f>
        <v>OK</v>
      </c>
    </row>
    <row r="7" spans="1:14" ht="15.6">
      <c r="A7" s="6"/>
      <c r="B7" s="8">
        <v>1</v>
      </c>
      <c r="C7" s="8">
        <v>1</v>
      </c>
      <c r="D7" s="8">
        <v>2</v>
      </c>
      <c r="F7" s="2"/>
      <c r="G7" s="2"/>
      <c r="H7" s="2"/>
      <c r="I7" s="9">
        <v>2</v>
      </c>
      <c r="J7" s="2"/>
      <c r="K7" s="10">
        <f>J57</f>
        <v>5</v>
      </c>
      <c r="M7" s="11">
        <v>2</v>
      </c>
      <c r="N7" s="4" t="str">
        <f>IF(I7=M7, "OK", "!!!")</f>
        <v>OK</v>
      </c>
    </row>
    <row r="8" spans="1:14" ht="15">
      <c r="A8" s="2"/>
      <c r="B8" s="8">
        <v>4</v>
      </c>
      <c r="C8" s="8">
        <v>3</v>
      </c>
      <c r="D8" s="8">
        <v>2</v>
      </c>
      <c r="F8" s="2"/>
      <c r="G8" s="2"/>
      <c r="H8" s="2"/>
      <c r="I8" s="9">
        <v>3</v>
      </c>
      <c r="J8" s="2"/>
      <c r="K8" s="10">
        <f>J58</f>
        <v>0</v>
      </c>
      <c r="M8" s="11">
        <v>3</v>
      </c>
      <c r="N8" s="4" t="str">
        <f>IF(I8=M8, "OK", "!!!")</f>
        <v>OK</v>
      </c>
    </row>
    <row r="9" spans="1:14" ht="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ht="16.2">
      <c r="A10" s="1" t="s">
        <v>6</v>
      </c>
      <c r="B10" s="2"/>
      <c r="C10" s="2"/>
      <c r="D10" s="2"/>
      <c r="E10" s="2"/>
      <c r="F10" s="2"/>
      <c r="G10" s="2"/>
      <c r="H10" s="2"/>
      <c r="I10" s="2"/>
      <c r="J10" s="2"/>
    </row>
    <row r="11" spans="1:14" ht="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 ht="15.6">
      <c r="A12" s="12" t="s">
        <v>7</v>
      </c>
      <c r="B12" s="13"/>
      <c r="C12" s="13"/>
      <c r="D12" s="13"/>
      <c r="E12" s="13"/>
      <c r="F12" s="14"/>
      <c r="G12" s="14"/>
      <c r="H12" s="14"/>
      <c r="I12" s="14"/>
      <c r="J12" s="2"/>
    </row>
    <row r="13" spans="1:14" ht="15.6">
      <c r="A13" s="12"/>
      <c r="B13" s="15">
        <f t="shared" ref="B13:D15" si="0">B6</f>
        <v>3</v>
      </c>
      <c r="C13" s="8">
        <f t="shared" si="0"/>
        <v>2</v>
      </c>
      <c r="D13" s="8">
        <f t="shared" si="0"/>
        <v>4</v>
      </c>
      <c r="E13" s="14"/>
      <c r="F13" s="14"/>
      <c r="G13" s="14"/>
      <c r="H13" s="14"/>
      <c r="I13" s="14"/>
      <c r="J13" s="2"/>
    </row>
    <row r="14" spans="1:14" ht="15.6">
      <c r="A14" s="12"/>
      <c r="B14" s="8">
        <f t="shared" si="0"/>
        <v>1</v>
      </c>
      <c r="C14" s="8">
        <f t="shared" si="0"/>
        <v>1</v>
      </c>
      <c r="D14" s="8">
        <f t="shared" si="0"/>
        <v>2</v>
      </c>
      <c r="E14" s="14"/>
      <c r="F14" s="14"/>
      <c r="G14" s="14"/>
      <c r="H14" s="14"/>
      <c r="I14" s="14"/>
      <c r="J14" s="2"/>
    </row>
    <row r="15" spans="1:14" ht="15.6">
      <c r="A15" s="12"/>
      <c r="B15" s="8">
        <f t="shared" si="0"/>
        <v>4</v>
      </c>
      <c r="C15" s="8">
        <f t="shared" si="0"/>
        <v>3</v>
      </c>
      <c r="D15" s="8">
        <f t="shared" si="0"/>
        <v>2</v>
      </c>
      <c r="E15" s="14"/>
      <c r="F15" s="14"/>
      <c r="G15" s="14"/>
      <c r="H15" s="14"/>
      <c r="I15" s="14"/>
      <c r="J15" s="2"/>
    </row>
    <row r="16" spans="1:14" ht="18">
      <c r="B16" s="16" t="s">
        <v>8</v>
      </c>
      <c r="C16" s="2"/>
      <c r="D16" s="2"/>
      <c r="F16" s="2"/>
      <c r="H16" s="2"/>
      <c r="I16" s="2"/>
      <c r="J16" s="2"/>
    </row>
    <row r="17" spans="1:10" ht="16.2">
      <c r="B17" s="17" t="s">
        <v>9</v>
      </c>
      <c r="C17" s="18">
        <f>B7/B6</f>
        <v>0.33333333333333331</v>
      </c>
      <c r="D17" s="2"/>
      <c r="F17" s="2"/>
    </row>
    <row r="18" spans="1:10" ht="15">
      <c r="A18" s="2"/>
      <c r="B18" s="8">
        <f>B13</f>
        <v>3</v>
      </c>
      <c r="C18" s="8">
        <f>C13</f>
        <v>2</v>
      </c>
      <c r="D18" s="8">
        <f>D13</f>
        <v>4</v>
      </c>
      <c r="F18" s="2"/>
      <c r="G18" s="2"/>
      <c r="H18" s="2"/>
      <c r="I18" s="2"/>
      <c r="J18" s="2"/>
    </row>
    <row r="19" spans="1:10" ht="15.6">
      <c r="A19" s="6" t="s">
        <v>10</v>
      </c>
      <c r="B19" s="19">
        <f>B14-B13*$C$17</f>
        <v>0</v>
      </c>
      <c r="C19" s="19">
        <f>C14-C13*$C$17</f>
        <v>0.33333333333333337</v>
      </c>
      <c r="D19" s="19">
        <f>D14-D13*$C$17</f>
        <v>0.66666666666666674</v>
      </c>
      <c r="F19" s="2"/>
      <c r="G19" s="20" t="s">
        <v>11</v>
      </c>
      <c r="H19" s="2"/>
      <c r="I19" s="21">
        <f>C17</f>
        <v>0.33333333333333331</v>
      </c>
      <c r="J19" s="6" t="s">
        <v>12</v>
      </c>
    </row>
    <row r="20" spans="1:10" ht="15.6">
      <c r="A20" s="2"/>
      <c r="B20" s="8">
        <f>B15</f>
        <v>4</v>
      </c>
      <c r="C20" s="8">
        <f>C15</f>
        <v>3</v>
      </c>
      <c r="D20" s="8">
        <f>D15</f>
        <v>2</v>
      </c>
      <c r="F20" s="2"/>
      <c r="G20" s="2"/>
      <c r="H20" s="2"/>
      <c r="I20" s="21"/>
      <c r="J20" s="2"/>
    </row>
    <row r="21" spans="1:10" ht="15.6">
      <c r="A21" s="2"/>
      <c r="B21" s="2"/>
      <c r="C21" s="2"/>
      <c r="D21" s="2"/>
      <c r="F21" s="2"/>
      <c r="G21" s="2"/>
      <c r="H21" s="2"/>
      <c r="I21" s="21"/>
      <c r="J21" s="2"/>
    </row>
    <row r="22" spans="1:10" ht="18">
      <c r="A22" s="2"/>
      <c r="B22" s="20" t="s">
        <v>13</v>
      </c>
      <c r="C22" s="2"/>
      <c r="D22" s="2"/>
      <c r="F22" s="2"/>
      <c r="G22" s="2"/>
      <c r="H22" s="2"/>
      <c r="I22" s="21"/>
      <c r="J22" s="2"/>
    </row>
    <row r="23" spans="1:10" ht="16.2">
      <c r="A23" s="2"/>
      <c r="B23" s="17" t="s">
        <v>14</v>
      </c>
      <c r="C23" s="18">
        <f>B20/B24</f>
        <v>1.3333333333333333</v>
      </c>
      <c r="E23" s="2"/>
      <c r="F23" s="2"/>
      <c r="I23" s="21"/>
    </row>
    <row r="24" spans="1:10" ht="15.6">
      <c r="A24" s="2"/>
      <c r="B24" s="15">
        <f t="shared" ref="B24:D25" si="1">B18</f>
        <v>3</v>
      </c>
      <c r="C24" s="8">
        <f t="shared" si="1"/>
        <v>2</v>
      </c>
      <c r="D24" s="8">
        <f t="shared" si="1"/>
        <v>4</v>
      </c>
      <c r="G24" s="2"/>
      <c r="H24" s="2"/>
      <c r="I24" s="21"/>
      <c r="J24" s="2"/>
    </row>
    <row r="25" spans="1:10" ht="15.6">
      <c r="A25" s="6" t="s">
        <v>10</v>
      </c>
      <c r="B25" s="8">
        <f t="shared" si="1"/>
        <v>0</v>
      </c>
      <c r="C25" s="8">
        <f t="shared" si="1"/>
        <v>0.33333333333333337</v>
      </c>
      <c r="D25" s="8">
        <f t="shared" si="1"/>
        <v>0.66666666666666674</v>
      </c>
      <c r="G25" s="2"/>
      <c r="H25" s="2"/>
      <c r="I25" s="21"/>
      <c r="J25" s="2"/>
    </row>
    <row r="26" spans="1:10" ht="15.6">
      <c r="A26" s="2"/>
      <c r="B26" s="19">
        <f>B20-B24*$C$23</f>
        <v>0</v>
      </c>
      <c r="C26" s="19">
        <f>C20-C24*$C$23</f>
        <v>0.33333333333333348</v>
      </c>
      <c r="D26" s="19">
        <f>D20-D24*$C$23</f>
        <v>-3.333333333333333</v>
      </c>
      <c r="G26" s="20" t="s">
        <v>15</v>
      </c>
      <c r="I26" s="21">
        <f>C23</f>
        <v>1.3333333333333333</v>
      </c>
      <c r="J26" s="22" t="s">
        <v>16</v>
      </c>
    </row>
    <row r="27" spans="1:10" ht="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6">
      <c r="A28" s="12" t="s">
        <v>17</v>
      </c>
      <c r="B28" s="13"/>
      <c r="C28" s="23" t="s">
        <v>18</v>
      </c>
      <c r="D28" s="13"/>
      <c r="E28" s="13"/>
      <c r="F28" s="14"/>
      <c r="G28" s="24" t="s">
        <v>19</v>
      </c>
      <c r="H28" s="14"/>
      <c r="I28" s="14"/>
      <c r="J28" s="2"/>
    </row>
    <row r="29" spans="1:10" ht="15.6">
      <c r="A29" s="12"/>
      <c r="B29" s="8">
        <f t="shared" ref="B29:D31" si="2">B24</f>
        <v>3</v>
      </c>
      <c r="C29" s="8">
        <f t="shared" si="2"/>
        <v>2</v>
      </c>
      <c r="D29" s="8">
        <f t="shared" si="2"/>
        <v>4</v>
      </c>
      <c r="E29" s="14"/>
      <c r="F29" s="19">
        <v>1</v>
      </c>
      <c r="G29" s="19">
        <v>0</v>
      </c>
      <c r="H29" s="19">
        <v>0</v>
      </c>
      <c r="I29" s="14"/>
      <c r="J29" s="2"/>
    </row>
    <row r="30" spans="1:10" ht="15.6">
      <c r="A30" s="12"/>
      <c r="B30" s="8">
        <f t="shared" si="2"/>
        <v>0</v>
      </c>
      <c r="C30" s="15">
        <f t="shared" si="2"/>
        <v>0.33333333333333337</v>
      </c>
      <c r="D30" s="8">
        <f t="shared" si="2"/>
        <v>0.66666666666666674</v>
      </c>
      <c r="E30" s="14"/>
      <c r="F30" s="8">
        <f>C17</f>
        <v>0.33333333333333331</v>
      </c>
      <c r="G30" s="19">
        <v>1</v>
      </c>
      <c r="H30" s="19">
        <v>0</v>
      </c>
      <c r="I30" s="14"/>
      <c r="J30" s="2"/>
    </row>
    <row r="31" spans="1:10" ht="15.6">
      <c r="A31" s="12"/>
      <c r="B31" s="8">
        <f t="shared" si="2"/>
        <v>0</v>
      </c>
      <c r="C31" s="8">
        <f t="shared" si="2"/>
        <v>0.33333333333333348</v>
      </c>
      <c r="D31" s="8">
        <f t="shared" si="2"/>
        <v>-3.333333333333333</v>
      </c>
      <c r="E31" s="14"/>
      <c r="F31" s="8">
        <f>C23</f>
        <v>1.3333333333333333</v>
      </c>
      <c r="G31" s="25"/>
      <c r="H31" s="19">
        <v>1</v>
      </c>
      <c r="I31" s="14"/>
      <c r="J31" s="2"/>
    </row>
    <row r="32" spans="1:10" ht="18">
      <c r="B32" s="16" t="s">
        <v>20</v>
      </c>
      <c r="C32" s="2"/>
      <c r="D32" s="2"/>
      <c r="F32" s="2"/>
      <c r="H32" s="2"/>
      <c r="I32" s="2"/>
      <c r="J32" s="2"/>
    </row>
    <row r="33" spans="1:11" ht="16.2">
      <c r="B33" s="17" t="s">
        <v>21</v>
      </c>
      <c r="C33" s="18">
        <f>C31/C30</f>
        <v>1.0000000000000004</v>
      </c>
      <c r="D33" s="2"/>
      <c r="F33" s="2"/>
    </row>
    <row r="34" spans="1:11" ht="15">
      <c r="A34" s="2"/>
      <c r="B34" s="8">
        <f t="shared" ref="B34:D35" si="3">B29</f>
        <v>3</v>
      </c>
      <c r="C34" s="8">
        <f t="shared" si="3"/>
        <v>2</v>
      </c>
      <c r="D34" s="8">
        <f t="shared" si="3"/>
        <v>4</v>
      </c>
      <c r="E34" s="2"/>
      <c r="F34" s="2"/>
      <c r="G34" s="2"/>
      <c r="H34" s="2"/>
      <c r="I34" s="2"/>
      <c r="J34" s="2"/>
    </row>
    <row r="35" spans="1:11" ht="15.6">
      <c r="A35" s="6" t="s">
        <v>10</v>
      </c>
      <c r="B35" s="8">
        <f t="shared" si="3"/>
        <v>0</v>
      </c>
      <c r="C35" s="15">
        <f t="shared" si="3"/>
        <v>0.33333333333333337</v>
      </c>
      <c r="D35" s="8">
        <f t="shared" si="3"/>
        <v>0.66666666666666674</v>
      </c>
      <c r="E35" s="2"/>
      <c r="F35" s="2"/>
      <c r="G35" s="2"/>
      <c r="H35" s="2"/>
      <c r="I35" s="2"/>
      <c r="J35" s="2"/>
    </row>
    <row r="36" spans="1:11" ht="15.6">
      <c r="A36" s="2"/>
      <c r="B36" s="19">
        <f>B31-$C$33*B30</f>
        <v>0</v>
      </c>
      <c r="C36" s="19">
        <f>C31-$C$33*C30</f>
        <v>0</v>
      </c>
      <c r="D36" s="19">
        <f>D31-$C$33*D30</f>
        <v>-4</v>
      </c>
      <c r="E36" s="2"/>
      <c r="F36" s="2"/>
      <c r="G36" s="20" t="s">
        <v>15</v>
      </c>
      <c r="H36" s="2"/>
      <c r="I36" s="21">
        <f>C33</f>
        <v>1.0000000000000004</v>
      </c>
      <c r="J36" s="6" t="s">
        <v>22</v>
      </c>
    </row>
    <row r="37" spans="1:11" ht="1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1" ht="15.6">
      <c r="A38" s="26" t="s">
        <v>23</v>
      </c>
      <c r="B38" s="27"/>
      <c r="C38" s="28" t="s">
        <v>18</v>
      </c>
      <c r="D38" s="27"/>
      <c r="E38" s="27"/>
      <c r="F38" s="18"/>
      <c r="G38" s="29" t="s">
        <v>19</v>
      </c>
      <c r="H38" s="18"/>
      <c r="I38" s="18"/>
      <c r="J38" s="2"/>
    </row>
    <row r="39" spans="1:11" ht="15.6">
      <c r="A39" s="12"/>
      <c r="B39" s="8">
        <f t="shared" ref="B39:D41" si="4">B34</f>
        <v>3</v>
      </c>
      <c r="C39" s="8">
        <f t="shared" si="4"/>
        <v>2</v>
      </c>
      <c r="D39" s="8">
        <f t="shared" si="4"/>
        <v>4</v>
      </c>
      <c r="E39" s="14"/>
      <c r="F39" s="19">
        <v>1</v>
      </c>
      <c r="G39" s="19">
        <v>0</v>
      </c>
      <c r="H39" s="19">
        <v>0</v>
      </c>
      <c r="I39" s="14"/>
      <c r="J39" s="2"/>
    </row>
    <row r="40" spans="1:11" ht="15.6">
      <c r="A40" s="12"/>
      <c r="B40" s="8">
        <f t="shared" si="4"/>
        <v>0</v>
      </c>
      <c r="C40" s="8">
        <f t="shared" si="4"/>
        <v>0.33333333333333337</v>
      </c>
      <c r="D40" s="30">
        <f t="shared" si="4"/>
        <v>0.66666666666666674</v>
      </c>
      <c r="E40" s="14"/>
      <c r="F40" s="8">
        <f>F30</f>
        <v>0.33333333333333331</v>
      </c>
      <c r="G40" s="19">
        <v>1</v>
      </c>
      <c r="H40" s="19">
        <v>0</v>
      </c>
      <c r="I40" s="14"/>
      <c r="J40" s="2"/>
    </row>
    <row r="41" spans="1:11" ht="15.6">
      <c r="A41" s="12"/>
      <c r="B41" s="8">
        <f t="shared" si="4"/>
        <v>0</v>
      </c>
      <c r="C41" s="8">
        <f t="shared" si="4"/>
        <v>0</v>
      </c>
      <c r="D41" s="8">
        <f t="shared" si="4"/>
        <v>-4</v>
      </c>
      <c r="E41" s="14"/>
      <c r="F41" s="8">
        <f>F31</f>
        <v>1.3333333333333333</v>
      </c>
      <c r="G41" s="8">
        <f>C33</f>
        <v>1.0000000000000004</v>
      </c>
      <c r="H41" s="19">
        <v>1</v>
      </c>
      <c r="I41" s="14"/>
      <c r="J41" s="2"/>
    </row>
    <row r="42" spans="1:11" ht="1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1" ht="18">
      <c r="A43" s="1" t="s">
        <v>24</v>
      </c>
      <c r="B43" s="2"/>
      <c r="C43" s="2"/>
      <c r="D43" s="2"/>
      <c r="E43" s="2"/>
      <c r="F43" s="2"/>
      <c r="G43" s="2"/>
      <c r="H43" s="2"/>
      <c r="I43" s="2"/>
      <c r="J43" s="2"/>
    </row>
    <row r="44" spans="1:11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6.8">
      <c r="A45" s="31" t="s">
        <v>25</v>
      </c>
      <c r="B45" s="32"/>
      <c r="C45" s="2"/>
      <c r="D45" s="32"/>
      <c r="E45" s="2"/>
      <c r="F45" s="32"/>
      <c r="G45" s="33"/>
      <c r="H45" s="2"/>
      <c r="I45" s="2"/>
      <c r="J45" s="2"/>
      <c r="K45" s="2"/>
    </row>
    <row r="46" spans="1:11" ht="15.6">
      <c r="A46" s="34"/>
      <c r="B46" s="33"/>
      <c r="C46" s="2"/>
      <c r="D46" s="32"/>
      <c r="E46" s="2"/>
      <c r="F46" s="32"/>
      <c r="G46" s="33"/>
      <c r="H46" s="2"/>
      <c r="I46" s="2"/>
      <c r="J46" s="2"/>
      <c r="K46" s="2"/>
    </row>
    <row r="47" spans="1:11" ht="15.6">
      <c r="A47" s="35"/>
      <c r="B47" s="7" t="s">
        <v>19</v>
      </c>
      <c r="C47" s="7"/>
      <c r="D47" s="7"/>
      <c r="E47" s="7" t="s">
        <v>26</v>
      </c>
      <c r="F47" s="7"/>
      <c r="G47" s="7" t="s">
        <v>3</v>
      </c>
      <c r="H47" s="36"/>
      <c r="I47" s="36"/>
      <c r="J47" s="7" t="s">
        <v>26</v>
      </c>
      <c r="K47" s="2"/>
    </row>
    <row r="48" spans="1:11" ht="15.6">
      <c r="A48" s="37">
        <f t="shared" ref="A48:C50" si="5">F39</f>
        <v>1</v>
      </c>
      <c r="B48" s="37">
        <f t="shared" si="5"/>
        <v>0</v>
      </c>
      <c r="C48" s="37">
        <f t="shared" si="5"/>
        <v>0</v>
      </c>
      <c r="D48" s="36"/>
      <c r="E48" s="38" t="s">
        <v>27</v>
      </c>
      <c r="F48" s="36"/>
      <c r="G48" s="39">
        <f>I6</f>
        <v>1</v>
      </c>
      <c r="H48" s="36"/>
      <c r="I48" s="36" t="s">
        <v>28</v>
      </c>
      <c r="J48" s="40">
        <f>G48</f>
        <v>1</v>
      </c>
    </row>
    <row r="49" spans="1:10" ht="15.6">
      <c r="A49" s="41">
        <f t="shared" si="5"/>
        <v>0.33333333333333331</v>
      </c>
      <c r="B49" s="37">
        <f t="shared" si="5"/>
        <v>1</v>
      </c>
      <c r="C49" s="37">
        <f t="shared" si="5"/>
        <v>0</v>
      </c>
      <c r="D49" s="7" t="s">
        <v>29</v>
      </c>
      <c r="E49" s="38" t="s">
        <v>30</v>
      </c>
      <c r="F49" s="7" t="s">
        <v>31</v>
      </c>
      <c r="G49" s="39">
        <f>I7</f>
        <v>2</v>
      </c>
      <c r="H49" s="36"/>
      <c r="I49" s="36" t="s">
        <v>32</v>
      </c>
      <c r="J49" s="42">
        <f>G49-A49*J48</f>
        <v>1.6666666666666667</v>
      </c>
    </row>
    <row r="50" spans="1:10" ht="15.6">
      <c r="A50" s="41">
        <f t="shared" si="5"/>
        <v>1.3333333333333333</v>
      </c>
      <c r="B50" s="37">
        <f t="shared" si="5"/>
        <v>1.0000000000000004</v>
      </c>
      <c r="C50" s="37">
        <f t="shared" si="5"/>
        <v>1</v>
      </c>
      <c r="D50" s="36"/>
      <c r="E50" s="38" t="s">
        <v>33</v>
      </c>
      <c r="F50" s="36"/>
      <c r="G50" s="39">
        <f>I8</f>
        <v>3</v>
      </c>
      <c r="H50" s="36"/>
      <c r="I50" s="36" t="s">
        <v>34</v>
      </c>
      <c r="J50" s="40">
        <f>G50-A50*J48-B50*J49</f>
        <v>0</v>
      </c>
    </row>
    <row r="51" spans="1:10" ht="15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15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15.6">
      <c r="A53" s="43" t="s">
        <v>35</v>
      </c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15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5.6">
      <c r="A55" s="35"/>
      <c r="B55" s="7" t="s">
        <v>18</v>
      </c>
      <c r="C55" s="7"/>
      <c r="D55" s="7"/>
      <c r="E55" s="7" t="s">
        <v>36</v>
      </c>
      <c r="F55" s="7"/>
      <c r="G55" s="7" t="s">
        <v>26</v>
      </c>
      <c r="H55" s="36"/>
      <c r="I55" s="36"/>
      <c r="J55" s="7" t="s">
        <v>36</v>
      </c>
    </row>
    <row r="56" spans="1:10" ht="15.6">
      <c r="A56" s="37">
        <f t="shared" ref="A56:C58" si="6">B39</f>
        <v>3</v>
      </c>
      <c r="B56" s="37">
        <f t="shared" si="6"/>
        <v>2</v>
      </c>
      <c r="C56" s="37">
        <f t="shared" si="6"/>
        <v>4</v>
      </c>
      <c r="D56" s="36"/>
      <c r="E56" s="38" t="s">
        <v>37</v>
      </c>
      <c r="F56" s="36"/>
      <c r="G56" s="39">
        <f>J48</f>
        <v>1</v>
      </c>
      <c r="H56" s="36"/>
      <c r="I56" s="36" t="s">
        <v>38</v>
      </c>
      <c r="J56" s="44">
        <f>(G56-C56*J58-B56*J57)/A56</f>
        <v>-3</v>
      </c>
    </row>
    <row r="57" spans="1:10" ht="15.6">
      <c r="A57" s="37">
        <f t="shared" si="6"/>
        <v>0</v>
      </c>
      <c r="B57" s="37">
        <f t="shared" si="6"/>
        <v>0.33333333333333337</v>
      </c>
      <c r="C57" s="37">
        <f t="shared" si="6"/>
        <v>0.66666666666666674</v>
      </c>
      <c r="D57" s="7" t="s">
        <v>29</v>
      </c>
      <c r="E57" s="38" t="s">
        <v>39</v>
      </c>
      <c r="F57" s="7" t="s">
        <v>31</v>
      </c>
      <c r="G57" s="39">
        <f>J49</f>
        <v>1.6666666666666667</v>
      </c>
      <c r="H57" s="36"/>
      <c r="I57" s="36" t="s">
        <v>40</v>
      </c>
      <c r="J57" s="44">
        <f>(G57-C57*J58)/B57</f>
        <v>5</v>
      </c>
    </row>
    <row r="58" spans="1:10" ht="15.6">
      <c r="A58" s="37">
        <f t="shared" si="6"/>
        <v>0</v>
      </c>
      <c r="B58" s="37">
        <f t="shared" si="6"/>
        <v>0</v>
      </c>
      <c r="C58" s="37">
        <f t="shared" si="6"/>
        <v>-4</v>
      </c>
      <c r="D58" s="36"/>
      <c r="E58" s="38" t="s">
        <v>41</v>
      </c>
      <c r="F58" s="36"/>
      <c r="G58" s="39">
        <f>J50</f>
        <v>0</v>
      </c>
      <c r="H58" s="36"/>
      <c r="I58" s="36" t="s">
        <v>42</v>
      </c>
      <c r="J58" s="44">
        <f>G58/C58</f>
        <v>0</v>
      </c>
    </row>
  </sheetData>
  <mergeCells count="1">
    <mergeCell ref="A2:C2"/>
  </mergeCells>
  <pageMargins left="0.34251968503937003" right="0.26614173228346455" top="0.39370078740157477" bottom="0.39370078740157477" header="0" footer="0"/>
  <pageSetup paperSize="0" scale="95" fitToWidth="0" fitToHeight="0" pageOrder="overThenDown" useFirstPageNumber="1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3F10-CF0E-4A1F-8A23-706E7A6EF806}">
  <sheetPr codeName="Planilha3"/>
  <dimension ref="A1:N58"/>
  <sheetViews>
    <sheetView tabSelected="1" workbookViewId="0"/>
  </sheetViews>
  <sheetFormatPr defaultRowHeight="13.8"/>
  <cols>
    <col min="1" max="1" width="7.33203125" style="48" customWidth="1"/>
    <col min="2" max="2" width="6.109375" style="48" customWidth="1"/>
    <col min="3" max="3" width="6.21875" style="48" customWidth="1"/>
    <col min="4" max="4" width="6.88671875" style="48" customWidth="1"/>
    <col min="5" max="5" width="6.5546875" style="48" customWidth="1"/>
    <col min="6" max="6" width="5" style="48" customWidth="1"/>
    <col min="7" max="7" width="6.109375" style="48" customWidth="1"/>
    <col min="8" max="8" width="6.88671875" style="48" customWidth="1"/>
    <col min="9" max="9" width="6.44140625" style="48" customWidth="1"/>
    <col min="10" max="10" width="11.88671875" style="48" customWidth="1"/>
    <col min="11" max="12" width="9.33203125" style="48" customWidth="1"/>
    <col min="13" max="13" width="7" style="48" customWidth="1"/>
    <col min="14" max="14" width="11.88671875" style="48" customWidth="1"/>
    <col min="15" max="16384" width="8.88671875" style="48"/>
  </cols>
  <sheetData>
    <row r="1" spans="1:14" ht="15">
      <c r="A1" s="45" t="s">
        <v>43</v>
      </c>
      <c r="B1" s="46"/>
      <c r="C1" s="47"/>
      <c r="D1" s="46"/>
      <c r="E1" s="46"/>
      <c r="F1" s="46"/>
      <c r="G1" s="46"/>
      <c r="H1" s="46"/>
      <c r="I1" s="46"/>
      <c r="J1" s="46"/>
    </row>
    <row r="2" spans="1:14" ht="52.35" customHeight="1">
      <c r="A2" s="49"/>
      <c r="B2" s="49"/>
      <c r="C2" s="49"/>
      <c r="D2" s="46"/>
      <c r="E2" s="46"/>
      <c r="F2" s="46"/>
      <c r="G2" s="46"/>
      <c r="H2" s="46"/>
      <c r="I2" s="46"/>
      <c r="J2" s="46"/>
    </row>
    <row r="3" spans="1:14" ht="15">
      <c r="F3" s="46"/>
      <c r="G3" s="46"/>
      <c r="H3" s="46"/>
      <c r="I3" s="46"/>
      <c r="J3" s="46"/>
    </row>
    <row r="4" spans="1:14" ht="15">
      <c r="A4" s="45" t="s">
        <v>1</v>
      </c>
      <c r="F4" s="46"/>
      <c r="G4" s="46"/>
      <c r="H4" s="46"/>
      <c r="I4" s="46"/>
      <c r="J4" s="46"/>
    </row>
    <row r="5" spans="1:14" ht="15.6">
      <c r="A5" s="46"/>
      <c r="B5" s="46"/>
      <c r="C5" s="50" t="s">
        <v>2</v>
      </c>
      <c r="D5" s="50"/>
      <c r="F5" s="46"/>
      <c r="G5" s="46"/>
      <c r="H5" s="46"/>
      <c r="I5" s="50" t="s">
        <v>3</v>
      </c>
      <c r="J5" s="46"/>
      <c r="K5" s="51" t="s">
        <v>4</v>
      </c>
      <c r="M5" s="48" t="s">
        <v>5</v>
      </c>
    </row>
    <row r="6" spans="1:14" ht="15">
      <c r="A6" s="46"/>
      <c r="B6" s="52">
        <v>1</v>
      </c>
      <c r="C6" s="52">
        <v>1</v>
      </c>
      <c r="D6" s="52">
        <v>2</v>
      </c>
      <c r="F6" s="46"/>
      <c r="G6" s="46"/>
      <c r="H6" s="46"/>
      <c r="I6" s="53">
        <v>4</v>
      </c>
      <c r="J6" s="46"/>
      <c r="K6" s="54">
        <f>J56</f>
        <v>1</v>
      </c>
      <c r="M6" s="55">
        <f t="array" ref="M6:M8">MMULT(B6:D8,K6:K8)</f>
        <v>4</v>
      </c>
      <c r="N6" s="48" t="str">
        <f>IF(I6=M6, "OK", "!!!")</f>
        <v>OK</v>
      </c>
    </row>
    <row r="7" spans="1:14" ht="15.6">
      <c r="A7" s="50"/>
      <c r="B7" s="52">
        <v>2</v>
      </c>
      <c r="C7" s="52">
        <v>-1</v>
      </c>
      <c r="D7" s="52">
        <v>-1</v>
      </c>
      <c r="F7" s="46"/>
      <c r="G7" s="46"/>
      <c r="H7" s="46"/>
      <c r="I7" s="53">
        <v>0</v>
      </c>
      <c r="J7" s="46"/>
      <c r="K7" s="54">
        <f>J57</f>
        <v>1</v>
      </c>
      <c r="M7" s="55">
        <v>0</v>
      </c>
      <c r="N7" s="48" t="str">
        <f>IF(I7=M7, "OK", "!!!")</f>
        <v>OK</v>
      </c>
    </row>
    <row r="8" spans="1:14" ht="15">
      <c r="A8" s="46"/>
      <c r="B8" s="52">
        <v>1</v>
      </c>
      <c r="C8" s="52">
        <v>-1</v>
      </c>
      <c r="D8" s="52">
        <v>-1</v>
      </c>
      <c r="F8" s="46"/>
      <c r="G8" s="46"/>
      <c r="H8" s="46"/>
      <c r="I8" s="53">
        <v>-1</v>
      </c>
      <c r="J8" s="46"/>
      <c r="K8" s="54">
        <f>J58</f>
        <v>1</v>
      </c>
      <c r="M8" s="55">
        <v>-1</v>
      </c>
      <c r="N8" s="48" t="str">
        <f>IF(I8=M8, "OK", "!!!")</f>
        <v>OK</v>
      </c>
    </row>
    <row r="9" spans="1:14" ht="15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spans="1:14" ht="16.2">
      <c r="A10" s="45" t="s">
        <v>6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14" ht="15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14" ht="15.6">
      <c r="A12" s="56" t="s">
        <v>7</v>
      </c>
      <c r="B12" s="57"/>
      <c r="C12" s="57"/>
      <c r="D12" s="57"/>
      <c r="E12" s="57"/>
      <c r="F12" s="58"/>
      <c r="G12" s="58"/>
      <c r="H12" s="58"/>
      <c r="I12" s="58"/>
      <c r="J12" s="46"/>
    </row>
    <row r="13" spans="1:14" ht="15.6">
      <c r="A13" s="56"/>
      <c r="B13" s="59">
        <f t="shared" ref="B13:D15" si="0">B6</f>
        <v>1</v>
      </c>
      <c r="C13" s="52">
        <f t="shared" si="0"/>
        <v>1</v>
      </c>
      <c r="D13" s="52">
        <f t="shared" si="0"/>
        <v>2</v>
      </c>
      <c r="E13" s="58"/>
      <c r="F13" s="58"/>
      <c r="G13" s="58"/>
      <c r="H13" s="58"/>
      <c r="I13" s="58"/>
      <c r="J13" s="46"/>
    </row>
    <row r="14" spans="1:14" ht="15.6">
      <c r="A14" s="56"/>
      <c r="B14" s="52">
        <f t="shared" si="0"/>
        <v>2</v>
      </c>
      <c r="C14" s="52">
        <f t="shared" si="0"/>
        <v>-1</v>
      </c>
      <c r="D14" s="52">
        <f t="shared" si="0"/>
        <v>-1</v>
      </c>
      <c r="E14" s="58"/>
      <c r="F14" s="58"/>
      <c r="G14" s="58"/>
      <c r="H14" s="58"/>
      <c r="I14" s="58"/>
      <c r="J14" s="46"/>
    </row>
    <row r="15" spans="1:14" ht="15.6">
      <c r="A15" s="56"/>
      <c r="B15" s="52">
        <f t="shared" si="0"/>
        <v>1</v>
      </c>
      <c r="C15" s="52">
        <f t="shared" si="0"/>
        <v>-1</v>
      </c>
      <c r="D15" s="52">
        <f t="shared" si="0"/>
        <v>-1</v>
      </c>
      <c r="E15" s="58"/>
      <c r="F15" s="58"/>
      <c r="G15" s="58"/>
      <c r="H15" s="58"/>
      <c r="I15" s="58"/>
      <c r="J15" s="46"/>
    </row>
    <row r="16" spans="1:14" ht="18">
      <c r="B16" s="60" t="s">
        <v>8</v>
      </c>
      <c r="C16" s="46"/>
      <c r="D16" s="46"/>
      <c r="F16" s="46"/>
      <c r="H16" s="46"/>
      <c r="I16" s="46"/>
      <c r="J16" s="46"/>
    </row>
    <row r="17" spans="1:10" ht="16.2">
      <c r="B17" s="61" t="s">
        <v>9</v>
      </c>
      <c r="C17" s="62">
        <f>B7/B6</f>
        <v>2</v>
      </c>
      <c r="D17" s="46"/>
      <c r="F17" s="46"/>
    </row>
    <row r="18" spans="1:10" ht="15">
      <c r="A18" s="46"/>
      <c r="B18" s="52">
        <f>B13</f>
        <v>1</v>
      </c>
      <c r="C18" s="52">
        <f>C13</f>
        <v>1</v>
      </c>
      <c r="D18" s="52">
        <f>D13</f>
        <v>2</v>
      </c>
      <c r="F18" s="46"/>
      <c r="G18" s="46"/>
      <c r="H18" s="46"/>
      <c r="I18" s="46"/>
      <c r="J18" s="46"/>
    </row>
    <row r="19" spans="1:10" ht="15.6">
      <c r="A19" s="50" t="s">
        <v>10</v>
      </c>
      <c r="B19" s="63">
        <f>B14-B13*$C$17</f>
        <v>0</v>
      </c>
      <c r="C19" s="63">
        <f>C14-C13*$C$17</f>
        <v>-3</v>
      </c>
      <c r="D19" s="63">
        <f>D14-D13*$C$17</f>
        <v>-5</v>
      </c>
      <c r="F19" s="46"/>
      <c r="G19" s="64" t="s">
        <v>11</v>
      </c>
      <c r="H19" s="46"/>
      <c r="I19" s="65">
        <f>C17</f>
        <v>2</v>
      </c>
      <c r="J19" s="50" t="s">
        <v>12</v>
      </c>
    </row>
    <row r="20" spans="1:10" ht="15.6">
      <c r="A20" s="46"/>
      <c r="B20" s="52">
        <f>B15</f>
        <v>1</v>
      </c>
      <c r="C20" s="52">
        <f>C15</f>
        <v>-1</v>
      </c>
      <c r="D20" s="52">
        <f>D15</f>
        <v>-1</v>
      </c>
      <c r="F20" s="46"/>
      <c r="G20" s="46"/>
      <c r="H20" s="46"/>
      <c r="I20" s="65"/>
      <c r="J20" s="46"/>
    </row>
    <row r="21" spans="1:10" ht="15.6">
      <c r="A21" s="46"/>
      <c r="B21" s="46"/>
      <c r="C21" s="46"/>
      <c r="D21" s="46"/>
      <c r="F21" s="46"/>
      <c r="G21" s="46"/>
      <c r="H21" s="46"/>
      <c r="I21" s="65"/>
      <c r="J21" s="46"/>
    </row>
    <row r="22" spans="1:10" ht="18">
      <c r="A22" s="46"/>
      <c r="B22" s="64" t="s">
        <v>13</v>
      </c>
      <c r="C22" s="46"/>
      <c r="D22" s="46"/>
      <c r="F22" s="46"/>
      <c r="G22" s="46"/>
      <c r="H22" s="46"/>
      <c r="I22" s="65"/>
      <c r="J22" s="46"/>
    </row>
    <row r="23" spans="1:10" ht="16.2">
      <c r="A23" s="46"/>
      <c r="B23" s="61" t="s">
        <v>14</v>
      </c>
      <c r="C23" s="62">
        <f>B20/B24</f>
        <v>1</v>
      </c>
      <c r="E23" s="46"/>
      <c r="F23" s="46"/>
      <c r="I23" s="65"/>
    </row>
    <row r="24" spans="1:10" ht="15.6">
      <c r="A24" s="46"/>
      <c r="B24" s="59">
        <f t="shared" ref="B24:D25" si="1">B18</f>
        <v>1</v>
      </c>
      <c r="C24" s="52">
        <f t="shared" si="1"/>
        <v>1</v>
      </c>
      <c r="D24" s="52">
        <f t="shared" si="1"/>
        <v>2</v>
      </c>
      <c r="G24" s="46"/>
      <c r="H24" s="46"/>
      <c r="I24" s="65"/>
      <c r="J24" s="46"/>
    </row>
    <row r="25" spans="1:10" ht="15.6">
      <c r="A25" s="50" t="s">
        <v>10</v>
      </c>
      <c r="B25" s="52">
        <f t="shared" si="1"/>
        <v>0</v>
      </c>
      <c r="C25" s="52">
        <f t="shared" si="1"/>
        <v>-3</v>
      </c>
      <c r="D25" s="52">
        <f t="shared" si="1"/>
        <v>-5</v>
      </c>
      <c r="G25" s="46"/>
      <c r="H25" s="46"/>
      <c r="I25" s="65"/>
      <c r="J25" s="46"/>
    </row>
    <row r="26" spans="1:10" ht="15.6">
      <c r="A26" s="46"/>
      <c r="B26" s="63">
        <f>B20-B24*$C$23</f>
        <v>0</v>
      </c>
      <c r="C26" s="63">
        <f>C20-C24*$C$23</f>
        <v>-2</v>
      </c>
      <c r="D26" s="63">
        <f>D20-D24*$C$23</f>
        <v>-3</v>
      </c>
      <c r="G26" s="64" t="s">
        <v>15</v>
      </c>
      <c r="I26" s="65">
        <f>C23</f>
        <v>1</v>
      </c>
      <c r="J26" s="66" t="s">
        <v>16</v>
      </c>
    </row>
    <row r="27" spans="1:10" ht="15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spans="1:10" ht="15.6">
      <c r="A28" s="56" t="s">
        <v>17</v>
      </c>
      <c r="B28" s="57"/>
      <c r="C28" s="67" t="s">
        <v>18</v>
      </c>
      <c r="D28" s="57"/>
      <c r="E28" s="57"/>
      <c r="F28" s="58"/>
      <c r="G28" s="68" t="s">
        <v>19</v>
      </c>
      <c r="H28" s="58"/>
      <c r="I28" s="58"/>
      <c r="J28" s="46"/>
    </row>
    <row r="29" spans="1:10" ht="15.6">
      <c r="A29" s="56"/>
      <c r="B29" s="52">
        <f t="shared" ref="B29:D31" si="2">B24</f>
        <v>1</v>
      </c>
      <c r="C29" s="52">
        <f t="shared" si="2"/>
        <v>1</v>
      </c>
      <c r="D29" s="52">
        <f t="shared" si="2"/>
        <v>2</v>
      </c>
      <c r="E29" s="58"/>
      <c r="F29" s="63">
        <v>1</v>
      </c>
      <c r="G29" s="63">
        <v>0</v>
      </c>
      <c r="H29" s="63">
        <v>0</v>
      </c>
      <c r="I29" s="58"/>
      <c r="J29" s="46"/>
    </row>
    <row r="30" spans="1:10" ht="15.6">
      <c r="A30" s="56"/>
      <c r="B30" s="52">
        <f t="shared" si="2"/>
        <v>0</v>
      </c>
      <c r="C30" s="59">
        <f t="shared" si="2"/>
        <v>-3</v>
      </c>
      <c r="D30" s="52">
        <f t="shared" si="2"/>
        <v>-5</v>
      </c>
      <c r="E30" s="58"/>
      <c r="F30" s="52">
        <f>C17</f>
        <v>2</v>
      </c>
      <c r="G30" s="63">
        <v>1</v>
      </c>
      <c r="H30" s="63">
        <v>0</v>
      </c>
      <c r="I30" s="58"/>
      <c r="J30" s="46"/>
    </row>
    <row r="31" spans="1:10" ht="15.6">
      <c r="A31" s="56"/>
      <c r="B31" s="52">
        <f t="shared" si="2"/>
        <v>0</v>
      </c>
      <c r="C31" s="52">
        <f t="shared" si="2"/>
        <v>-2</v>
      </c>
      <c r="D31" s="52">
        <f t="shared" si="2"/>
        <v>-3</v>
      </c>
      <c r="E31" s="58"/>
      <c r="F31" s="52">
        <f>C23</f>
        <v>1</v>
      </c>
      <c r="G31" s="69"/>
      <c r="H31" s="63">
        <v>1</v>
      </c>
      <c r="I31" s="58"/>
      <c r="J31" s="46"/>
    </row>
    <row r="32" spans="1:10" ht="18">
      <c r="B32" s="60" t="s">
        <v>20</v>
      </c>
      <c r="C32" s="46"/>
      <c r="D32" s="46"/>
      <c r="F32" s="46"/>
      <c r="H32" s="46"/>
      <c r="I32" s="46"/>
      <c r="J32" s="46"/>
    </row>
    <row r="33" spans="1:11" ht="16.2">
      <c r="B33" s="61" t="s">
        <v>21</v>
      </c>
      <c r="C33" s="62">
        <f>C31/C30</f>
        <v>0.66666666666666663</v>
      </c>
      <c r="D33" s="46"/>
      <c r="F33" s="46"/>
    </row>
    <row r="34" spans="1:11" ht="15">
      <c r="A34" s="46"/>
      <c r="B34" s="52">
        <f t="shared" ref="B34:D35" si="3">B29</f>
        <v>1</v>
      </c>
      <c r="C34" s="52">
        <f t="shared" si="3"/>
        <v>1</v>
      </c>
      <c r="D34" s="52">
        <f t="shared" si="3"/>
        <v>2</v>
      </c>
      <c r="E34" s="46"/>
      <c r="F34" s="46"/>
      <c r="G34" s="46"/>
      <c r="H34" s="46"/>
      <c r="I34" s="46"/>
      <c r="J34" s="46"/>
    </row>
    <row r="35" spans="1:11" ht="15.6">
      <c r="A35" s="50" t="s">
        <v>10</v>
      </c>
      <c r="B35" s="52">
        <f t="shared" si="3"/>
        <v>0</v>
      </c>
      <c r="C35" s="59">
        <f t="shared" si="3"/>
        <v>-3</v>
      </c>
      <c r="D35" s="52">
        <f t="shared" si="3"/>
        <v>-5</v>
      </c>
      <c r="E35" s="46"/>
      <c r="F35" s="46"/>
      <c r="G35" s="46"/>
      <c r="H35" s="46"/>
      <c r="I35" s="46"/>
      <c r="J35" s="46"/>
    </row>
    <row r="36" spans="1:11" ht="15.6">
      <c r="A36" s="46"/>
      <c r="B36" s="63">
        <f>B31-$C$33*B30</f>
        <v>0</v>
      </c>
      <c r="C36" s="63">
        <f>C31-$C$33*C30</f>
        <v>0</v>
      </c>
      <c r="D36" s="70">
        <f>D31-$C$33*D30</f>
        <v>0.33333333333333304</v>
      </c>
      <c r="E36" s="46"/>
      <c r="F36" s="46"/>
      <c r="G36" s="64" t="s">
        <v>15</v>
      </c>
      <c r="H36" s="46"/>
      <c r="I36" s="71">
        <f>C33</f>
        <v>0.66666666666666663</v>
      </c>
      <c r="J36" s="50" t="s">
        <v>22</v>
      </c>
    </row>
    <row r="37" spans="1:11" ht="15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spans="1:11" ht="15.6">
      <c r="A38" s="72" t="s">
        <v>23</v>
      </c>
      <c r="B38" s="73"/>
      <c r="C38" s="74" t="s">
        <v>18</v>
      </c>
      <c r="D38" s="73"/>
      <c r="E38" s="73"/>
      <c r="F38" s="62"/>
      <c r="G38" s="75" t="s">
        <v>19</v>
      </c>
      <c r="H38" s="62"/>
      <c r="I38" s="62"/>
      <c r="J38" s="46"/>
    </row>
    <row r="39" spans="1:11" ht="15.6">
      <c r="A39" s="56"/>
      <c r="B39" s="52">
        <f t="shared" ref="B39:D41" si="4">B34</f>
        <v>1</v>
      </c>
      <c r="C39" s="52">
        <f t="shared" si="4"/>
        <v>1</v>
      </c>
      <c r="D39" s="52">
        <f t="shared" si="4"/>
        <v>2</v>
      </c>
      <c r="E39" s="58"/>
      <c r="F39" s="63">
        <v>1</v>
      </c>
      <c r="G39" s="63">
        <v>0</v>
      </c>
      <c r="H39" s="63">
        <v>0</v>
      </c>
      <c r="I39" s="58"/>
      <c r="J39" s="46"/>
    </row>
    <row r="40" spans="1:11" ht="15.6">
      <c r="A40" s="56"/>
      <c r="B40" s="52">
        <f t="shared" si="4"/>
        <v>0</v>
      </c>
      <c r="C40" s="52">
        <f t="shared" si="4"/>
        <v>-3</v>
      </c>
      <c r="D40" s="52">
        <f t="shared" si="4"/>
        <v>-5</v>
      </c>
      <c r="E40" s="58"/>
      <c r="F40" s="52">
        <f>F30</f>
        <v>2</v>
      </c>
      <c r="G40" s="63">
        <v>1</v>
      </c>
      <c r="H40" s="63">
        <v>0</v>
      </c>
      <c r="I40" s="58"/>
      <c r="J40" s="46"/>
    </row>
    <row r="41" spans="1:11" ht="15.6">
      <c r="A41" s="56"/>
      <c r="B41" s="52">
        <f t="shared" si="4"/>
        <v>0</v>
      </c>
      <c r="C41" s="52">
        <f t="shared" si="4"/>
        <v>0</v>
      </c>
      <c r="D41" s="76">
        <f t="shared" si="4"/>
        <v>0.33333333333333304</v>
      </c>
      <c r="E41" s="58"/>
      <c r="F41" s="52">
        <f>F31</f>
        <v>1</v>
      </c>
      <c r="G41" s="52">
        <f>C33</f>
        <v>0.66666666666666663</v>
      </c>
      <c r="H41" s="63">
        <v>1</v>
      </c>
      <c r="I41" s="58"/>
      <c r="J41" s="46"/>
    </row>
    <row r="42" spans="1:11" ht="15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spans="1:11" ht="18">
      <c r="A43" s="45" t="s">
        <v>24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1" ht="1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 ht="16.8">
      <c r="A45" s="77" t="s">
        <v>25</v>
      </c>
      <c r="B45" s="78"/>
      <c r="C45" s="46"/>
      <c r="D45" s="78"/>
      <c r="E45" s="46"/>
      <c r="F45" s="78"/>
      <c r="G45" s="79"/>
      <c r="H45" s="46"/>
      <c r="I45" s="46"/>
      <c r="J45" s="46"/>
      <c r="K45" s="46"/>
    </row>
    <row r="46" spans="1:11" ht="15.6">
      <c r="A46" s="80"/>
      <c r="B46" s="79"/>
      <c r="C46" s="46"/>
      <c r="D46" s="78"/>
      <c r="E46" s="46"/>
      <c r="F46" s="78"/>
      <c r="G46" s="79"/>
      <c r="H46" s="46"/>
      <c r="I46" s="46"/>
      <c r="J46" s="46"/>
      <c r="K46" s="46"/>
    </row>
    <row r="47" spans="1:11" ht="15.6">
      <c r="A47" s="80"/>
      <c r="B47" s="78" t="s">
        <v>19</v>
      </c>
      <c r="C47" s="78"/>
      <c r="D47" s="78"/>
      <c r="E47" s="78" t="s">
        <v>26</v>
      </c>
      <c r="F47" s="78"/>
      <c r="G47" s="78" t="s">
        <v>3</v>
      </c>
      <c r="H47" s="46"/>
      <c r="I47" s="46"/>
      <c r="J47" s="78" t="s">
        <v>26</v>
      </c>
      <c r="K47" s="46"/>
    </row>
    <row r="48" spans="1:11" ht="15.6">
      <c r="A48" s="52">
        <f t="shared" ref="A48:C50" si="5">F39</f>
        <v>1</v>
      </c>
      <c r="B48" s="52">
        <f t="shared" si="5"/>
        <v>0</v>
      </c>
      <c r="C48" s="52">
        <f t="shared" si="5"/>
        <v>0</v>
      </c>
      <c r="D48" s="46"/>
      <c r="E48" s="63" t="s">
        <v>27</v>
      </c>
      <c r="F48" s="46"/>
      <c r="G48" s="53">
        <f>I6</f>
        <v>4</v>
      </c>
      <c r="H48" s="46"/>
      <c r="I48" s="46" t="s">
        <v>28</v>
      </c>
      <c r="J48" s="81">
        <f>G48/A48</f>
        <v>4</v>
      </c>
    </row>
    <row r="49" spans="1:10" ht="15.6">
      <c r="A49" s="52">
        <f t="shared" si="5"/>
        <v>2</v>
      </c>
      <c r="B49" s="52">
        <f t="shared" si="5"/>
        <v>1</v>
      </c>
      <c r="C49" s="52">
        <f t="shared" si="5"/>
        <v>0</v>
      </c>
      <c r="D49" s="78" t="s">
        <v>29</v>
      </c>
      <c r="E49" s="63" t="s">
        <v>30</v>
      </c>
      <c r="F49" s="78" t="s">
        <v>31</v>
      </c>
      <c r="G49" s="53">
        <f>I7</f>
        <v>0</v>
      </c>
      <c r="H49" s="46"/>
      <c r="I49" s="46" t="s">
        <v>32</v>
      </c>
      <c r="J49" s="81">
        <f>G49-A49*J48</f>
        <v>-8</v>
      </c>
    </row>
    <row r="50" spans="1:10" ht="15.6">
      <c r="A50" s="52">
        <f t="shared" si="5"/>
        <v>1</v>
      </c>
      <c r="B50" s="52">
        <f t="shared" si="5"/>
        <v>0.66666666666666663</v>
      </c>
      <c r="C50" s="52">
        <f t="shared" si="5"/>
        <v>1</v>
      </c>
      <c r="D50" s="46"/>
      <c r="E50" s="63" t="s">
        <v>33</v>
      </c>
      <c r="F50" s="46"/>
      <c r="G50" s="53">
        <f>I8</f>
        <v>-1</v>
      </c>
      <c r="H50" s="46"/>
      <c r="I50" s="46" t="s">
        <v>34</v>
      </c>
      <c r="J50" s="82">
        <f>G50-A50*J48-B50*J49</f>
        <v>0.33333333333333304</v>
      </c>
    </row>
    <row r="51" spans="1:10" ht="15">
      <c r="J51" s="83"/>
    </row>
    <row r="52" spans="1:10" ht="15">
      <c r="J52" s="83"/>
    </row>
    <row r="53" spans="1:10" ht="15.6">
      <c r="A53" s="84" t="s">
        <v>35</v>
      </c>
      <c r="J53" s="83"/>
    </row>
    <row r="54" spans="1:10" ht="15">
      <c r="J54" s="83"/>
    </row>
    <row r="55" spans="1:10" ht="15.6">
      <c r="A55" s="80"/>
      <c r="B55" s="78" t="s">
        <v>18</v>
      </c>
      <c r="C55" s="78"/>
      <c r="D55" s="78"/>
      <c r="E55" s="78" t="s">
        <v>36</v>
      </c>
      <c r="F55" s="78"/>
      <c r="G55" s="78" t="s">
        <v>26</v>
      </c>
      <c r="H55" s="46"/>
      <c r="I55" s="46"/>
      <c r="J55" s="51" t="s">
        <v>36</v>
      </c>
    </row>
    <row r="56" spans="1:10" ht="15.6">
      <c r="A56" s="52">
        <f t="shared" ref="A56:C58" si="6">B39</f>
        <v>1</v>
      </c>
      <c r="B56" s="52">
        <f t="shared" si="6"/>
        <v>1</v>
      </c>
      <c r="C56" s="52">
        <f t="shared" si="6"/>
        <v>2</v>
      </c>
      <c r="D56" s="46"/>
      <c r="E56" s="63" t="s">
        <v>37</v>
      </c>
      <c r="F56" s="46"/>
      <c r="G56" s="53">
        <f>J48</f>
        <v>4</v>
      </c>
      <c r="H56" s="46"/>
      <c r="I56" s="46" t="s">
        <v>38</v>
      </c>
      <c r="J56" s="81">
        <f>(G56-C56*J58-B56*J57)/A56</f>
        <v>1</v>
      </c>
    </row>
    <row r="57" spans="1:10" ht="15.6">
      <c r="A57" s="52">
        <f t="shared" si="6"/>
        <v>0</v>
      </c>
      <c r="B57" s="52">
        <f t="shared" si="6"/>
        <v>-3</v>
      </c>
      <c r="C57" s="52">
        <f t="shared" si="6"/>
        <v>-5</v>
      </c>
      <c r="D57" s="78" t="s">
        <v>29</v>
      </c>
      <c r="E57" s="63" t="s">
        <v>39</v>
      </c>
      <c r="F57" s="78" t="s">
        <v>31</v>
      </c>
      <c r="G57" s="53">
        <f>J49</f>
        <v>-8</v>
      </c>
      <c r="H57" s="46"/>
      <c r="I57" s="46" t="s">
        <v>40</v>
      </c>
      <c r="J57" s="81">
        <f>(G57-C57*J58)/B57</f>
        <v>1</v>
      </c>
    </row>
    <row r="58" spans="1:10" ht="15.6">
      <c r="A58" s="52">
        <f t="shared" si="6"/>
        <v>0</v>
      </c>
      <c r="B58" s="52">
        <f t="shared" si="6"/>
        <v>0</v>
      </c>
      <c r="C58" s="76">
        <f t="shared" si="6"/>
        <v>0.33333333333333304</v>
      </c>
      <c r="D58" s="46"/>
      <c r="E58" s="63" t="s">
        <v>41</v>
      </c>
      <c r="F58" s="46"/>
      <c r="G58" s="53">
        <f>J50</f>
        <v>0.33333333333333304</v>
      </c>
      <c r="H58" s="46"/>
      <c r="I58" s="46" t="s">
        <v>42</v>
      </c>
      <c r="J58" s="81">
        <f>G58/C58</f>
        <v>1</v>
      </c>
    </row>
  </sheetData>
  <mergeCells count="1">
    <mergeCell ref="A2:C2"/>
  </mergeCells>
  <pageMargins left="0" right="0" top="0.39370078740157477" bottom="0.39370078740157477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Ex_1</vt:lpstr>
      <vt:lpstr>Ex_2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Bertinetti</dc:creator>
  <cp:lastModifiedBy>Lucas Bertinetti</cp:lastModifiedBy>
  <dcterms:created xsi:type="dcterms:W3CDTF">2015-06-05T18:19:34Z</dcterms:created>
  <dcterms:modified xsi:type="dcterms:W3CDTF">2024-10-02T18:57:19Z</dcterms:modified>
</cp:coreProperties>
</file>