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_1"/>
    <sheet r:id="rId2" sheetId="2" name="Ex_2"/>
    <sheet r:id="rId3" sheetId="3" name="Ex_3"/>
    <sheet r:id="rId4" sheetId="4" name="Ex_4"/>
    <sheet r:id="rId5" sheetId="5" name="Ex_4 Newton"/>
    <sheet r:id="rId6" sheetId="6" name="Ex_4_Falsa_Posicao"/>
  </sheets>
  <calcPr fullCalcOnLoad="1"/>
</workbook>
</file>

<file path=xl/sharedStrings.xml><?xml version="1.0" encoding="utf-8"?>
<sst xmlns="http://schemas.openxmlformats.org/spreadsheetml/2006/main" count="114" uniqueCount="44">
  <si>
    <t>Exemplo 3 – Falsa posição</t>
  </si>
  <si>
    <r>
      <t>x</t>
    </r>
    <r>
      <rPr>
        <sz val="11"/>
        <color rgb="FF000000"/>
        <rFont val="Liberation Sans"/>
        <family val="2"/>
      </rPr>
      <t>3</t>
    </r>
    <r>
      <rPr>
        <b/>
        <sz val="12"/>
        <color rgb="FF000000"/>
        <rFont val="Liberation Sans"/>
        <family val="2"/>
      </rPr>
      <t xml:space="preserve"> – 9*x + 3</t>
    </r>
  </si>
  <si>
    <t>x</t>
  </si>
  <si>
    <t>f(x)</t>
  </si>
  <si>
    <t>e</t>
  </si>
  <si>
    <t>f(x_ns)</t>
  </si>
  <si>
    <t>N</t>
  </si>
  <si>
    <t>A</t>
  </si>
  <si>
    <t>B</t>
  </si>
  <si>
    <t>x_ns</t>
  </si>
  <si>
    <t>f(A)</t>
  </si>
  <si>
    <t>f(B)</t>
  </si>
  <si>
    <t>f(A)*f(x_ns)</t>
  </si>
  <si>
    <t>f(x_ns)*f(B)</t>
  </si>
  <si>
    <t>E_ideal</t>
  </si>
  <si>
    <t>E</t>
  </si>
  <si>
    <t>Solução:</t>
  </si>
  <si>
    <t>Exemplo 4 (b)– Newton-Raphson</t>
  </si>
  <si>
    <t>x³ – 9x +3</t>
  </si>
  <si>
    <t>f' ́(x) =</t>
  </si>
  <si>
    <r>
      <t/>
    </r>
    <r>
      <rPr>
        <b/>
        <sz val="11"/>
        <color rgb="FF000000"/>
        <rFont val="Liberation Sans"/>
        <family val="2"/>
      </rPr>
      <t>3</t>
    </r>
    <r>
      <rPr>
        <b/>
        <sz val="13"/>
        <color rgb="FF000000"/>
        <rFont val="Liberation Sans"/>
        <family val="2"/>
      </rPr>
      <t>x² − 9</t>
    </r>
  </si>
  <si>
    <t>f''(x) =</t>
  </si>
  <si>
    <t>6x</t>
  </si>
  <si>
    <t>b) Melhor extremo (valor inicial), onde f(x)*f''(x) &gt; 0</t>
  </si>
  <si>
    <t>f''(x)</t>
  </si>
  <si>
    <t>f(x)*f''(x)</t>
  </si>
  <si>
    <t>| x_(i+1) – x_i) |</t>
  </si>
  <si>
    <t>x_(i)</t>
  </si>
  <si>
    <t>f'(x)</t>
  </si>
  <si>
    <t>x_(i+1)</t>
  </si>
  <si>
    <t>Exercicio 4 (a) – Secante</t>
  </si>
  <si>
    <t>x³ – 9x + 3</t>
  </si>
  <si>
    <t>x_0</t>
  </si>
  <si>
    <t>x_1</t>
  </si>
  <si>
    <t>x_(i-1)</t>
  </si>
  <si>
    <t>f(  x_(i-1)  )</t>
  </si>
  <si>
    <t>f(x_i)</t>
  </si>
  <si>
    <t>Exercicio 3 – Secante</t>
  </si>
  <si>
    <t>x³ – 4</t>
  </si>
  <si>
    <t>Exercicio 2 – Secante</t>
  </si>
  <si>
    <t>3x – cos(x)</t>
  </si>
  <si>
    <t>Exercício 1 – Secante</t>
  </si>
  <si>
    <t>x² + x – 6</t>
  </si>
  <si>
    <t>f( x_(i-1)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</si>
</sst>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7">
    <numFmt numFmtId="164" formatCode="#,##0.000000"/>
    <numFmt numFmtId="165" formatCode="#,##0.000000000"/>
    <numFmt numFmtId="166" formatCode="#,##0.000"/>
    <numFmt numFmtId="167" formatCode="#,##0.0000"/>
    <numFmt numFmtId="168" formatCode="#,##0.00000"/>
    <numFmt numFmtId="169" formatCode="#,##0.00000000"/>
    <numFmt numFmtId="170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Liberation Sans"/>
      <family val="2"/>
    </font>
    <font>
      <sz val="12"/>
      <color rgb="FF000000"/>
      <name val="Liberation Sans"/>
      <family val="2"/>
    </font>
    <font>
      <b/>
      <sz val="11"/>
      <color rgb="FF000000"/>
      <name val="Liberation Sans"/>
      <family val="2"/>
    </font>
    <font>
      <sz val="11"/>
      <color theme="1"/>
      <name val="Calibri"/>
      <family val="2"/>
    </font>
    <font>
      <b/>
      <sz val="12"/>
      <color rgb="FF000000"/>
      <name val="Liberation Sans2"/>
      <family val="2"/>
    </font>
    <font>
      <b/>
      <sz val="12"/>
      <color rgb="FF000000"/>
      <name val="Liberation Sans1"/>
      <family val="2"/>
    </font>
    <font>
      <b/>
      <sz val="12"/>
      <color rgb="FF0000cc"/>
      <name val="Liberation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dddd"/>
      </patternFill>
    </fill>
    <fill>
      <patternFill patternType="solid">
        <fgColor rgb="FF99ccff"/>
      </patternFill>
    </fill>
    <fill>
      <patternFill patternType="solid">
        <fgColor rgb="FF99ff33"/>
      </patternFill>
    </fill>
    <fill>
      <patternFill patternType="solid">
        <fgColor rgb="FFffff99"/>
      </patternFill>
    </fill>
    <fill>
      <patternFill patternType="solid">
        <fgColor rgb="FFffff66"/>
      </patternFill>
    </fill>
    <fill>
      <patternFill patternType="solid">
        <fgColor rgb="FFff9900"/>
      </patternFill>
    </fill>
    <fill>
      <patternFill patternType="solid">
        <fgColor rgb="FFccff99"/>
      </patternFill>
    </fill>
    <fill>
      <patternFill patternType="solid">
        <fgColor rgb="FFffcc00"/>
      </patternFill>
    </fill>
    <fill>
      <patternFill patternType="solid">
        <fgColor rgb="FFccff66"/>
      </patternFill>
    </fill>
    <fill>
      <patternFill patternType="solid">
        <fgColor rgb="FFff99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xfId="0" numFmtId="0" borderId="0" fontId="0" fillId="0"/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166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7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3" applyNumberFormat="1" borderId="3" applyBorder="1" fontId="1" applyFont="1" fillId="3" applyFill="1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2" applyFont="1" fillId="4" applyFill="1" applyAlignment="1">
      <alignment horizontal="right"/>
    </xf>
    <xf xfId="0" numFmtId="3" applyNumberFormat="1" borderId="3" applyBorder="1" fontId="2" applyFont="1" fillId="5" applyFill="1" applyAlignment="1">
      <alignment horizontal="right"/>
    </xf>
    <xf xfId="0" numFmtId="3" applyNumberFormat="1" borderId="3" applyBorder="1" fontId="2" applyFont="1" fillId="2" applyFill="1" applyAlignment="1">
      <alignment horizontal="right"/>
    </xf>
    <xf xfId="0" numFmtId="3" applyNumberFormat="1" borderId="2" applyBorder="1" fontId="3" applyFont="1" fillId="6" applyFill="1" applyAlignment="1">
      <alignment horizontal="left"/>
    </xf>
    <xf xfId="0" numFmtId="4" applyNumberFormat="1" borderId="2" applyBorder="1" fontId="3" applyFont="1" fillId="6" applyFill="1" applyAlignment="1">
      <alignment horizontal="right"/>
    </xf>
    <xf xfId="0" numFmtId="167" applyNumberFormat="1" borderId="3" applyBorder="1" fontId="3" applyFont="1" fillId="3" applyFill="1" applyAlignment="1">
      <alignment horizontal="center"/>
    </xf>
    <xf xfId="0" numFmtId="3" applyNumberFormat="1" borderId="3" applyBorder="1" fontId="3" applyFont="1" fillId="3" applyFill="1" applyAlignment="1">
      <alignment horizontal="center"/>
    </xf>
    <xf xfId="0" numFmtId="164" applyNumberFormat="1" borderId="3" applyBorder="1" fontId="3" applyFont="1" fillId="3" applyFill="1" applyAlignment="1">
      <alignment horizontal="center"/>
    </xf>
    <xf xfId="0" numFmtId="165" applyNumberFormat="1" borderId="3" applyBorder="1" fontId="3" applyFont="1" fillId="3" applyFill="1" applyAlignment="1">
      <alignment horizontal="center"/>
    </xf>
    <xf xfId="0" numFmtId="166" applyNumberFormat="1" borderId="3" applyBorder="1" fontId="3" applyFont="1" fillId="3" applyFill="1" applyAlignment="1">
      <alignment horizontal="center"/>
    </xf>
    <xf xfId="0" numFmtId="4" applyNumberFormat="1" borderId="3" applyBorder="1" fontId="3" applyFont="1" fillId="3" applyFill="1" applyAlignment="1">
      <alignment horizontal="center"/>
    </xf>
    <xf xfId="0" numFmtId="3" applyNumberFormat="1" borderId="3" applyBorder="1" fontId="4" applyFont="1" fillId="0" applyAlignment="1">
      <alignment horizontal="right"/>
    </xf>
    <xf xfId="0" numFmtId="164" applyNumberFormat="1" borderId="3" applyBorder="1" fontId="4" applyFont="1" fillId="7" applyFill="1" applyAlignment="1">
      <alignment horizontal="right"/>
    </xf>
    <xf xfId="0" numFmtId="166" applyNumberFormat="1" borderId="3" applyBorder="1" fontId="4" applyFont="1" fillId="0" applyAlignment="1">
      <alignment horizontal="right"/>
    </xf>
    <xf xfId="0" numFmtId="166" applyNumberFormat="1" borderId="3" applyBorder="1" fontId="4" applyFont="1" fillId="5" applyFill="1" applyAlignment="1">
      <alignment horizontal="right"/>
    </xf>
    <xf xfId="0" numFmtId="4" applyNumberFormat="1" borderId="3" applyBorder="1" fontId="4" applyFont="1" fillId="0" applyAlignment="1">
      <alignment horizontal="right"/>
    </xf>
    <xf xfId="0" numFmtId="167" applyNumberFormat="1" borderId="3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3" applyBorder="1" fontId="4" applyFont="1" fillId="7" applyFill="1" applyAlignment="1">
      <alignment horizontal="right"/>
    </xf>
    <xf xfId="0" numFmtId="164" applyNumberFormat="1" borderId="3" applyBorder="1" fontId="4" applyFont="1" fillId="3" applyFill="1" applyAlignment="1">
      <alignment horizontal="right"/>
    </xf>
    <xf xfId="0" numFmtId="167" applyNumberFormat="1" borderId="3" applyBorder="1" fontId="4" applyFont="1" fillId="3" applyFill="1" applyAlignment="1">
      <alignment horizontal="right"/>
    </xf>
    <xf xfId="0" numFmtId="164" applyNumberFormat="1" borderId="3" applyBorder="1" fontId="4" applyFont="1" fillId="8" applyFill="1" applyAlignment="1">
      <alignment horizontal="right"/>
    </xf>
    <xf xfId="0" numFmtId="3" applyNumberFormat="1" borderId="3" applyBorder="1" fontId="4" applyFont="1" fillId="0" applyAlignment="1">
      <alignment horizontal="lef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4" applyNumberFormat="1" borderId="3" applyBorder="1" fontId="4" applyFont="1" fillId="0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165" applyNumberFormat="1" borderId="3" applyBorder="1" fontId="4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166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7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168" applyNumberFormat="1" borderId="1" applyBorder="1" fontId="2" applyFont="1" fillId="0" applyAlignment="1">
      <alignment horizontal="left"/>
    </xf>
    <xf xfId="0" numFmtId="168" applyNumberFormat="1" borderId="0" fontId="0" fillId="0" applyAlignment="1">
      <alignment horizontal="general"/>
    </xf>
    <xf xfId="0" numFmtId="168" applyNumberFormat="1" borderId="2" applyBorder="1" fontId="1" applyFont="1" fillId="2" applyFill="1" applyAlignment="1">
      <alignment horizontal="left"/>
    </xf>
    <xf xfId="0" numFmtId="168" applyNumberFormat="1" borderId="2" applyBorder="1" fontId="2" applyFont="1" fillId="2" applyFill="1" applyAlignment="1">
      <alignment horizontal="left"/>
    </xf>
    <xf xfId="0" numFmtId="168" applyNumberFormat="1" borderId="1" applyBorder="1" fontId="1" applyFont="1" fillId="0" applyAlignment="1">
      <alignment horizontal="left"/>
    </xf>
    <xf xfId="0" numFmtId="168" applyNumberFormat="1" borderId="3" applyBorder="1" fontId="1" applyFont="1" fillId="3" applyFill="1" applyAlignment="1">
      <alignment horizontal="center"/>
    </xf>
    <xf xfId="0" numFmtId="166" applyNumberFormat="1" borderId="3" applyBorder="1" fontId="2" applyFont="1" fillId="0" applyAlignment="1">
      <alignment horizontal="right"/>
    </xf>
    <xf xfId="0" numFmtId="3" applyNumberFormat="1" borderId="3" applyBorder="1" fontId="2" applyFont="1" fillId="9" applyFill="1" applyAlignment="1">
      <alignment horizontal="right"/>
    </xf>
    <xf xfId="0" numFmtId="166" applyNumberFormat="1" borderId="3" applyBorder="1" fontId="2" applyFont="1" fillId="9" applyFill="1" applyAlignment="1">
      <alignment horizontal="right"/>
    </xf>
    <xf xfId="0" numFmtId="166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4" applyNumberFormat="1" borderId="2" applyBorder="1" fontId="1" applyFont="1" fillId="2" applyFill="1" applyAlignment="1">
      <alignment horizontal="right"/>
    </xf>
    <xf xfId="0" numFmtId="3" applyNumberFormat="1" borderId="2" applyBorder="1" fontId="5" applyFont="1" fillId="3" applyFill="1" applyAlignment="1">
      <alignment horizontal="left"/>
    </xf>
    <xf xfId="0" numFmtId="168" applyNumberFormat="1" borderId="2" applyBorder="1" fontId="6" applyFont="1" fillId="3" applyFill="1" applyAlignment="1">
      <alignment horizontal="left"/>
    </xf>
    <xf xfId="0" numFmtId="168" applyNumberFormat="1" borderId="2" applyBorder="1" fontId="2" applyFont="1" fillId="3" applyFill="1" applyAlignment="1">
      <alignment horizontal="left"/>
    </xf>
    <xf xfId="0" numFmtId="168" applyNumberFormat="1" borderId="2" applyBorder="1" fontId="6" applyFont="1" fillId="3" applyFill="1" applyAlignment="1">
      <alignment horizontal="justify"/>
    </xf>
    <xf xfId="0" numFmtId="168" applyNumberFormat="1" borderId="0" fontId="0" fillId="0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167" applyNumberFormat="1" borderId="3" applyBorder="1" fontId="2" applyFont="1" fillId="0" applyAlignment="1">
      <alignment horizontal="right"/>
    </xf>
    <xf xfId="0" numFmtId="3" applyNumberFormat="1" borderId="3" applyBorder="1" fontId="2" applyFont="1" fillId="10" applyFill="1" applyAlignment="1">
      <alignment horizontal="right"/>
    </xf>
    <xf xfId="0" numFmtId="0" borderId="1" applyBorder="1" fontId="2" applyFont="1" fillId="0" applyAlignment="1">
      <alignment horizontal="left"/>
    </xf>
    <xf xfId="0" numFmtId="166" applyNumberFormat="1" borderId="3" applyBorder="1" fontId="1" applyFont="1" fillId="3" applyFill="1" applyAlignment="1">
      <alignment horizontal="center"/>
    </xf>
    <xf xfId="0" numFmtId="168" applyNumberFormat="1" borderId="3" applyBorder="1" fontId="2" applyFont="1" fillId="0" applyAlignment="1">
      <alignment horizontal="right"/>
    </xf>
    <xf xfId="0" numFmtId="168" applyNumberFormat="1" borderId="3" applyBorder="1" fontId="1" applyFont="1" fillId="0" applyAlignment="1">
      <alignment horizontal="right"/>
    </xf>
    <xf xfId="0" numFmtId="168" applyNumberFormat="1" borderId="2" applyBorder="1" fontId="1" applyFont="1" fillId="8" applyFill="1" applyAlignment="1">
      <alignment horizontal="right"/>
    </xf>
    <xf xfId="0" numFmtId="169" applyNumberFormat="1" borderId="3" applyBorder="1" fontId="2" applyFont="1" fillId="0" applyAlignment="1">
      <alignment horizontal="right"/>
    </xf>
    <xf xfId="0" numFmtId="168" applyNumberFormat="1" borderId="0" fontId="0" fillId="0" applyAlignment="1">
      <alignment horizontal="general"/>
    </xf>
    <xf xfId="0" numFmtId="168" applyNumberFormat="1" borderId="0" fontId="0" fillId="0" applyAlignment="1">
      <alignment horizontal="right"/>
    </xf>
    <xf xfId="0" numFmtId="169" applyNumberFormat="1" borderId="1" applyBorder="1" fontId="2" applyFont="1" fillId="0" applyAlignment="1">
      <alignment horizontal="left"/>
    </xf>
    <xf xfId="0" numFmtId="169" applyNumberFormat="1" borderId="0" fontId="0" fillId="0" applyAlignment="1">
      <alignment horizontal="general"/>
    </xf>
    <xf xfId="0" numFmtId="169" applyNumberFormat="1" borderId="2" applyBorder="1" fontId="2" applyFont="1" fillId="2" applyFill="1" applyAlignment="1">
      <alignment horizontal="left"/>
    </xf>
    <xf xfId="0" numFmtId="3" applyNumberFormat="1" borderId="3" applyBorder="1" fontId="2" applyFont="1" fillId="11" applyFill="1" applyAlignment="1">
      <alignment horizontal="right"/>
    </xf>
    <xf xfId="0" numFmtId="166" applyNumberFormat="1" borderId="3" applyBorder="1" fontId="2" applyFont="1" fillId="11" applyFill="1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7" applyNumberFormat="1" borderId="1" applyBorder="1" fontId="2" applyFont="1" fillId="0" applyAlignment="1">
      <alignment horizontal="left"/>
    </xf>
    <xf xfId="0" numFmtId="3" applyNumberFormat="1" borderId="3" applyBorder="1" fontId="5" applyFont="1" fillId="3" applyFill="1" applyAlignment="1">
      <alignment horizontal="left"/>
    </xf>
    <xf xfId="0" numFmtId="4" applyNumberFormat="1" borderId="3" applyBorder="1" fontId="5" applyFont="1" fillId="3" applyFill="1" applyAlignment="1">
      <alignment horizontal="right"/>
    </xf>
    <xf xfId="0" numFmtId="3" applyNumberFormat="1" borderId="3" applyBorder="1" fontId="5" applyFont="1" fillId="3" applyFill="1" applyAlignment="1">
      <alignment horizontal="right"/>
    </xf>
    <xf xfId="0" numFmtId="167" applyNumberFormat="1" borderId="1" applyBorder="1" fontId="1" applyFont="1" fillId="0" applyAlignment="1">
      <alignment horizontal="left"/>
    </xf>
    <xf xfId="0" numFmtId="169" applyNumberFormat="1" borderId="3" applyBorder="1" fontId="1" applyFont="1" fillId="3" applyFill="1" applyAlignment="1">
      <alignment horizontal="center"/>
    </xf>
    <xf xfId="0" numFmtId="168" applyNumberFormat="1" borderId="3" applyBorder="1" fontId="1" applyFont="1" fillId="8" applyFill="1" applyAlignment="1">
      <alignment horizontal="center"/>
    </xf>
    <xf xfId="0" numFmtId="4" applyNumberFormat="1" borderId="3" applyBorder="1" fontId="1" applyFont="1" fillId="3" applyFill="1" applyAlignment="1">
      <alignment horizontal="center"/>
    </xf>
    <xf xfId="0" numFmtId="167" applyNumberFormat="1" borderId="3" applyBorder="1" fontId="1" applyFont="1" fillId="3" applyFill="1" applyAlignment="1">
      <alignment horizontal="center"/>
    </xf>
    <xf xfId="0" numFmtId="4" applyNumberFormat="1" borderId="3" applyBorder="1" fontId="2" applyFont="1" fillId="0" applyAlignment="1">
      <alignment horizontal="right"/>
    </xf>
    <xf xfId="0" numFmtId="167" applyNumberFormat="1" borderId="3" applyBorder="1" fontId="1" applyFont="1" fillId="0" applyAlignment="1">
      <alignment horizontal="right"/>
    </xf>
    <xf xfId="0" numFmtId="169" applyNumberFormat="1" borderId="2" applyBorder="1" fontId="1" applyFont="1" fillId="8" applyFill="1" applyAlignment="1">
      <alignment horizontal="right"/>
    </xf>
    <xf xfId="0" numFmtId="170" applyNumberFormat="1" borderId="3" applyBorder="1" fontId="2" applyFont="1" fillId="0" applyAlignment="1">
      <alignment horizontal="right"/>
    </xf>
    <xf xfId="0" numFmtId="169" applyNumberFormat="1" borderId="0" fontId="0" fillId="0" applyAlignment="1">
      <alignment horizontal="general"/>
    </xf>
    <xf xfId="0" numFmtId="3" applyNumberFormat="1" borderId="3" applyBorder="1" fontId="6" applyFont="1" fillId="3" applyFill="1" applyAlignment="1">
      <alignment horizontal="left"/>
    </xf>
    <xf xfId="0" numFmtId="4" applyNumberFormat="1" borderId="3" applyBorder="1" fontId="6" applyFont="1" fillId="3" applyFill="1" applyAlignment="1">
      <alignment horizontal="right"/>
    </xf>
    <xf xfId="0" numFmtId="3" applyNumberFormat="1" borderId="3" applyBorder="1" fontId="6" applyFont="1" fillId="3" applyFill="1" applyAlignment="1">
      <alignment horizontal="right"/>
    </xf>
    <xf xfId="0" numFmtId="168" applyNumberFormat="1" borderId="3" applyBorder="1" fontId="2" applyFont="1" fillId="2" applyFill="1" applyAlignment="1">
      <alignment horizontal="right"/>
    </xf>
    <xf xfId="0" numFmtId="168" applyNumberFormat="1" borderId="2" applyBorder="1" fontId="4" applyFont="1" fillId="2" applyFill="1" applyAlignment="1">
      <alignment horizontal="left"/>
    </xf>
    <xf xfId="0" numFmtId="4" applyNumberFormat="1" borderId="3" applyBorder="1" fontId="6" applyFont="1" fillId="6" applyFill="1" applyAlignment="1">
      <alignment horizontal="right"/>
    </xf>
    <xf xfId="0" numFmtId="167" applyNumberFormat="1" borderId="1" applyBorder="1" fontId="3" applyFont="1" fillId="0" applyAlignment="1">
      <alignment horizontal="left"/>
    </xf>
    <xf xfId="0" numFmtId="168" applyNumberFormat="1" borderId="3" applyBorder="1" fontId="3" applyFont="1" fillId="3" applyFill="1" applyAlignment="1">
      <alignment horizontal="center"/>
    </xf>
    <xf xfId="0" numFmtId="168" applyNumberFormat="1" borderId="3" applyBorder="1" fontId="3" applyFont="1" fillId="8" applyFill="1" applyAlignment="1">
      <alignment horizontal="center"/>
    </xf>
    <xf xfId="0" numFmtId="168" applyNumberFormat="1" borderId="3" applyBorder="1" fontId="2" applyFont="1" fillId="6" applyFill="1" applyAlignment="1">
      <alignment horizontal="right"/>
    </xf>
    <xf xfId="0" numFmtId="168" applyNumberFormat="1" borderId="3" applyBorder="1" fontId="2" applyFont="1" fillId="11" applyFill="1" applyAlignment="1">
      <alignment horizontal="right"/>
    </xf>
    <xf xfId="0" numFmtId="168" applyNumberFormat="1" borderId="3" applyBorder="1" fontId="2" applyFont="1" fillId="12" applyFill="1" applyAlignment="1">
      <alignment horizontal="right"/>
    </xf>
    <xf xfId="0" numFmtId="168" applyNumberFormat="1" borderId="1" applyBorder="1" fontId="3" applyFont="1" fillId="0" applyAlignment="1">
      <alignment horizontal="left"/>
    </xf>
    <xf xfId="0" numFmtId="168" applyNumberFormat="1" borderId="2" applyBorder="1" fontId="3" applyFont="1" fillId="8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"/>
  <sheetViews>
    <sheetView workbookViewId="0" tabSelected="1"/>
  </sheetViews>
  <sheetFormatPr defaultRowHeight="15" x14ac:dyDescent="0.25"/>
  <cols>
    <col min="1" max="1" style="43" width="9.005" customWidth="1" bestFit="1"/>
    <col min="2" max="2" style="78" width="12.147857142857141" customWidth="1" bestFit="1"/>
    <col min="3" max="3" style="79" width="16.14785714285714" customWidth="1" bestFit="1"/>
    <col min="4" max="4" style="78" width="13.43357142857143" customWidth="1" bestFit="1"/>
    <col min="5" max="5" style="78" width="10.005" customWidth="1" bestFit="1"/>
    <col min="6" max="6" style="78" width="13.43357142857143" customWidth="1" bestFit="1"/>
    <col min="7" max="7" style="47" width="10.719285714285713" customWidth="1" bestFit="1"/>
    <col min="8" max="8" style="48" width="13.147857142857141" customWidth="1" bestFit="1"/>
    <col min="9" max="9" style="49" width="12.290714285714287" customWidth="1" bestFit="1"/>
  </cols>
  <sheetData>
    <row x14ac:dyDescent="0.25" r="1" customHeight="1" ht="16.5">
      <c r="A1" s="8" t="s">
        <v>41</v>
      </c>
      <c r="B1" s="52"/>
      <c r="C1" s="68"/>
      <c r="D1" s="52"/>
      <c r="E1" s="52"/>
      <c r="F1" s="52"/>
      <c r="G1" s="5"/>
      <c r="H1" s="6"/>
      <c r="I1" s="7"/>
    </row>
    <row x14ac:dyDescent="0.25" r="2" customHeight="1" ht="16.5">
      <c r="A2" s="1"/>
      <c r="B2" s="52"/>
      <c r="C2" s="68"/>
      <c r="D2" s="52"/>
      <c r="E2" s="52"/>
      <c r="F2" s="52"/>
      <c r="G2" s="5"/>
      <c r="H2" s="6"/>
      <c r="I2" s="7"/>
    </row>
    <row x14ac:dyDescent="0.25" r="3" customHeight="1" ht="16.5">
      <c r="A3" s="69"/>
      <c r="B3" s="52"/>
      <c r="C3" s="68"/>
      <c r="D3" s="52"/>
      <c r="E3" s="52"/>
      <c r="F3" s="52"/>
      <c r="G3" s="5"/>
      <c r="H3" s="6"/>
      <c r="I3" s="7"/>
    </row>
    <row x14ac:dyDescent="0.25" r="4" customHeight="1" ht="16.5">
      <c r="A4" s="9" t="s">
        <v>3</v>
      </c>
      <c r="B4" s="53" t="s">
        <v>42</v>
      </c>
      <c r="C4" s="104"/>
      <c r="D4" s="52"/>
      <c r="E4" s="52"/>
      <c r="F4" s="52"/>
      <c r="G4" s="5"/>
      <c r="H4" s="6"/>
      <c r="I4" s="7"/>
    </row>
    <row x14ac:dyDescent="0.25" r="5" customHeight="1" ht="16.5">
      <c r="A5" s="1"/>
      <c r="B5" s="55"/>
      <c r="C5" s="68"/>
      <c r="D5" s="52"/>
      <c r="E5" s="52"/>
      <c r="F5" s="52"/>
      <c r="G5" s="5"/>
      <c r="H5" s="6"/>
      <c r="I5" s="7"/>
    </row>
    <row x14ac:dyDescent="0.25" r="6" customHeight="1" ht="16.5">
      <c r="A6" s="11" t="s">
        <v>2</v>
      </c>
      <c r="B6" s="56" t="s">
        <v>3</v>
      </c>
      <c r="C6" s="68"/>
      <c r="D6" s="52"/>
      <c r="E6" s="52"/>
      <c r="F6" s="52"/>
      <c r="G6" s="5"/>
      <c r="H6" s="6"/>
      <c r="I6" s="7"/>
    </row>
    <row x14ac:dyDescent="0.25" r="7" customHeight="1" ht="16.5">
      <c r="A7" s="12">
        <v>-5</v>
      </c>
      <c r="B7" s="57">
        <f>POWER(A7,2) + A7 -6</f>
      </c>
      <c r="C7" s="68"/>
      <c r="D7" s="52"/>
      <c r="E7" s="52"/>
      <c r="F7" s="52"/>
      <c r="G7" s="5"/>
      <c r="H7" s="6"/>
      <c r="I7" s="7"/>
    </row>
    <row x14ac:dyDescent="0.25" r="8" customHeight="1" ht="16.5">
      <c r="A8" s="12">
        <v>-4</v>
      </c>
      <c r="B8" s="57">
        <f>POWER(A8,2) + A8 -6</f>
      </c>
      <c r="C8" s="68"/>
      <c r="D8" s="52"/>
      <c r="E8" s="52"/>
      <c r="F8" s="52"/>
      <c r="G8" s="5"/>
      <c r="H8" s="6"/>
      <c r="I8" s="7"/>
    </row>
    <row x14ac:dyDescent="0.25" r="9" customHeight="1" ht="16.5">
      <c r="A9" s="83">
        <v>-3</v>
      </c>
      <c r="B9" s="84">
        <f>POWER(A9,2) + A9 -6</f>
      </c>
      <c r="C9" s="68"/>
      <c r="D9" s="52"/>
      <c r="E9" s="52"/>
      <c r="F9" s="52"/>
      <c r="G9" s="5"/>
      <c r="H9" s="6"/>
      <c r="I9" s="7"/>
    </row>
    <row x14ac:dyDescent="0.25" r="10" customHeight="1" ht="16.5">
      <c r="A10" s="83">
        <v>-2</v>
      </c>
      <c r="B10" s="84">
        <f>POWER(A10,2) + A10 -6</f>
      </c>
      <c r="C10" s="68"/>
      <c r="D10" s="52"/>
      <c r="E10" s="52"/>
      <c r="F10" s="52"/>
      <c r="G10" s="5"/>
      <c r="H10" s="6"/>
      <c r="I10" s="7"/>
    </row>
    <row x14ac:dyDescent="0.25" r="11" customHeight="1" ht="19.5">
      <c r="A11" s="12">
        <v>-1</v>
      </c>
      <c r="B11" s="57">
        <f>POWER(A11,2) + A11 -6</f>
      </c>
      <c r="C11" s="68"/>
      <c r="D11" s="52"/>
      <c r="E11" s="52"/>
      <c r="F11" s="52"/>
      <c r="G11" s="5"/>
      <c r="H11" s="6"/>
      <c r="I11" s="7"/>
    </row>
    <row x14ac:dyDescent="0.25" r="12" customHeight="1" ht="19.5">
      <c r="A12" s="12">
        <v>0</v>
      </c>
      <c r="B12" s="57">
        <f>POWER(A12,2) + A12 -6</f>
      </c>
      <c r="C12" s="68"/>
      <c r="D12" s="52"/>
      <c r="E12" s="52"/>
      <c r="F12" s="52"/>
      <c r="G12" s="5"/>
      <c r="H12" s="6"/>
      <c r="I12" s="7"/>
    </row>
    <row x14ac:dyDescent="0.25" r="13" customHeight="1" ht="19.5">
      <c r="A13" s="83">
        <v>1</v>
      </c>
      <c r="B13" s="84">
        <f>POWER(A13,2) + A13 -6</f>
      </c>
      <c r="C13" s="68"/>
      <c r="D13" s="52"/>
      <c r="E13" s="52"/>
      <c r="F13" s="52"/>
      <c r="G13" s="5"/>
      <c r="H13" s="6"/>
      <c r="I13" s="7"/>
    </row>
    <row x14ac:dyDescent="0.25" r="14" customHeight="1" ht="19.5">
      <c r="A14" s="83">
        <v>2</v>
      </c>
      <c r="B14" s="84">
        <f>POWER(A14,2) + A14 -6</f>
      </c>
      <c r="C14" s="68"/>
      <c r="D14" s="52"/>
      <c r="E14" s="52"/>
      <c r="F14" s="52"/>
      <c r="G14" s="5"/>
      <c r="H14" s="6"/>
      <c r="I14" s="7"/>
    </row>
    <row x14ac:dyDescent="0.25" r="15" customHeight="1" ht="19.5">
      <c r="A15" s="12">
        <v>3</v>
      </c>
      <c r="B15" s="57">
        <f>POWER(A15,2) + A15 -6</f>
      </c>
      <c r="C15" s="68"/>
      <c r="D15" s="52"/>
      <c r="E15" s="52"/>
      <c r="F15" s="52"/>
      <c r="G15" s="5"/>
      <c r="H15" s="6"/>
      <c r="I15" s="7"/>
    </row>
    <row x14ac:dyDescent="0.25" r="16" customHeight="1" ht="19.5">
      <c r="A16" s="12">
        <v>4</v>
      </c>
      <c r="B16" s="57">
        <f>POWER(A16,2) + A16 -6</f>
      </c>
      <c r="C16" s="68"/>
      <c r="D16" s="52"/>
      <c r="E16" s="52"/>
      <c r="F16" s="52"/>
      <c r="G16" s="5"/>
      <c r="H16" s="6"/>
      <c r="I16" s="7"/>
    </row>
    <row x14ac:dyDescent="0.25" r="17" customHeight="1" ht="20.25">
      <c r="A17" s="12">
        <v>5</v>
      </c>
      <c r="B17" s="57">
        <f>POWER(A17,2) + A17 -6</f>
      </c>
      <c r="C17" s="68"/>
      <c r="D17" s="52"/>
      <c r="E17" s="52"/>
      <c r="F17" s="52"/>
      <c r="G17" s="5"/>
      <c r="H17" s="6"/>
      <c r="I17" s="7"/>
    </row>
    <row x14ac:dyDescent="0.25" r="18" customHeight="1" ht="16.5">
      <c r="A18" s="1"/>
      <c r="B18" s="52"/>
      <c r="C18" s="68"/>
      <c r="D18" s="52"/>
      <c r="E18" s="52"/>
      <c r="F18" s="52"/>
      <c r="G18" s="5"/>
      <c r="H18" s="6"/>
      <c r="I18" s="7"/>
    </row>
    <row x14ac:dyDescent="0.25" r="19" customHeight="1" ht="16.5">
      <c r="A19" s="1"/>
      <c r="B19" s="52"/>
      <c r="C19" s="68"/>
      <c r="D19" s="52"/>
      <c r="E19" s="52"/>
      <c r="F19" s="52"/>
      <c r="G19" s="5"/>
      <c r="H19" s="6"/>
      <c r="I19" s="7"/>
    </row>
    <row x14ac:dyDescent="0.25" r="20" customHeight="1" ht="19.5">
      <c r="A20" s="100" t="s">
        <v>4</v>
      </c>
      <c r="B20" s="101">
        <v>0.01</v>
      </c>
      <c r="C20" s="68"/>
      <c r="D20" s="52"/>
      <c r="E20" s="52"/>
      <c r="F20" s="52"/>
      <c r="G20" s="5"/>
      <c r="H20" s="6"/>
      <c r="I20" s="7"/>
    </row>
    <row x14ac:dyDescent="0.25" r="21" customHeight="1" ht="19.5">
      <c r="A21" s="100" t="s">
        <v>32</v>
      </c>
      <c r="B21" s="105">
        <v>1.5</v>
      </c>
      <c r="C21" s="68"/>
      <c r="D21" s="52"/>
      <c r="E21" s="52"/>
      <c r="F21" s="52"/>
      <c r="G21" s="5"/>
      <c r="H21" s="6"/>
      <c r="I21" s="7"/>
    </row>
    <row x14ac:dyDescent="0.25" r="22" customHeight="1" ht="20.25">
      <c r="A22" s="100" t="s">
        <v>33</v>
      </c>
      <c r="B22" s="105">
        <v>1.7</v>
      </c>
      <c r="C22" s="68"/>
      <c r="D22" s="52"/>
      <c r="E22" s="52"/>
      <c r="F22" s="52"/>
      <c r="G22" s="5"/>
      <c r="H22" s="6"/>
      <c r="I22" s="7"/>
    </row>
    <row x14ac:dyDescent="0.25" r="23" customHeight="1" ht="16.5">
      <c r="A23" s="1"/>
      <c r="B23" s="52"/>
      <c r="C23" s="68"/>
      <c r="D23" s="52"/>
      <c r="E23" s="52"/>
      <c r="F23" s="52"/>
      <c r="G23" s="5"/>
      <c r="H23" s="6"/>
      <c r="I23" s="7"/>
    </row>
    <row x14ac:dyDescent="0.25" r="24" customHeight="1" ht="19.5">
      <c r="A24" s="69"/>
      <c r="B24" s="52"/>
      <c r="C24" s="68"/>
      <c r="D24" s="52"/>
      <c r="E24" s="52"/>
      <c r="F24" s="52"/>
      <c r="G24" s="5"/>
      <c r="H24" s="6"/>
      <c r="I24" s="7"/>
    </row>
    <row x14ac:dyDescent="0.25" r="25" customHeight="1" ht="19.5">
      <c r="A25" s="69"/>
      <c r="B25" s="52"/>
      <c r="C25" s="68"/>
      <c r="D25" s="52"/>
      <c r="E25" s="52"/>
      <c r="F25" s="52"/>
      <c r="G25" s="5"/>
      <c r="H25" s="6"/>
      <c r="I25" s="7"/>
    </row>
    <row x14ac:dyDescent="0.25" r="26" customHeight="1" ht="16.5">
      <c r="A26" s="1"/>
      <c r="B26" s="52"/>
      <c r="C26" s="68"/>
      <c r="D26" s="52"/>
      <c r="E26" s="52"/>
      <c r="F26" s="52"/>
      <c r="G26" s="5"/>
      <c r="H26" s="6"/>
      <c r="I26" s="7"/>
    </row>
    <row x14ac:dyDescent="0.25" r="27" customHeight="1" ht="16.5">
      <c r="A27" s="1"/>
      <c r="B27" s="52"/>
      <c r="C27" s="68"/>
      <c r="D27" s="52"/>
      <c r="E27" s="52"/>
      <c r="F27" s="52"/>
      <c r="G27" s="5"/>
      <c r="H27" s="6"/>
      <c r="I27" s="7"/>
    </row>
    <row x14ac:dyDescent="0.25" r="28" customHeight="1" ht="18">
      <c r="A28" s="1"/>
      <c r="B28" s="52"/>
      <c r="C28" s="68"/>
      <c r="D28" s="52"/>
      <c r="E28" s="52"/>
      <c r="F28" s="52"/>
      <c r="G28" s="5"/>
      <c r="H28" s="106" t="s">
        <v>26</v>
      </c>
      <c r="I28" s="7"/>
    </row>
    <row x14ac:dyDescent="0.25" r="29" customHeight="1" ht="18.75">
      <c r="A29" s="19" t="s">
        <v>6</v>
      </c>
      <c r="B29" s="107" t="s">
        <v>34</v>
      </c>
      <c r="C29" s="107" t="s">
        <v>27</v>
      </c>
      <c r="D29" s="107" t="s">
        <v>43</v>
      </c>
      <c r="E29" s="107" t="s">
        <v>36</v>
      </c>
      <c r="F29" s="108" t="s">
        <v>29</v>
      </c>
      <c r="G29" s="23" t="s">
        <v>14</v>
      </c>
      <c r="H29" s="18" t="s">
        <v>15</v>
      </c>
      <c r="I29" s="7"/>
    </row>
    <row x14ac:dyDescent="0.25" r="30" customHeight="1" ht="19.5">
      <c r="A30" s="12">
        <v>1</v>
      </c>
      <c r="B30" s="109">
        <f>B21</f>
      </c>
      <c r="C30" s="110">
        <f>B22</f>
      </c>
      <c r="D30" s="74">
        <f>POWER(B30,2) + B30 -6</f>
      </c>
      <c r="E30" s="74">
        <f>POWER(C30,2) + C30 -6</f>
      </c>
      <c r="F30" s="111">
        <f>C30-(E30*(B30-C30))/(D30-E30)</f>
      </c>
      <c r="G30" s="95">
        <f>$B$20</f>
      </c>
      <c r="H30" s="96">
        <f>ABS(F30-C30)</f>
      </c>
      <c r="I30" s="72">
        <f>IF(H30&lt;G30, " FIM!", "")</f>
      </c>
    </row>
    <row x14ac:dyDescent="0.25" r="31" customHeight="1" ht="19.5">
      <c r="A31" s="12">
        <v>2</v>
      </c>
      <c r="B31" s="110">
        <f>C30</f>
      </c>
      <c r="C31" s="111">
        <f>F30</f>
      </c>
      <c r="D31" s="74">
        <f>POWER(B31,2) + B31 -6</f>
      </c>
      <c r="E31" s="74">
        <f>POWER(C31,2) + C31 -6</f>
      </c>
      <c r="F31" s="74">
        <f>C31-(E31*(B31-C31))/(D31-E31)</f>
      </c>
      <c r="G31" s="95">
        <f>$B$20</f>
      </c>
      <c r="H31" s="96">
        <f>ABS(F31-C31)</f>
      </c>
      <c r="I31" s="72">
        <f>IF(H31&lt;G31, " FIM!", "")</f>
      </c>
    </row>
    <row x14ac:dyDescent="0.25" r="32" customHeight="1" ht="20.25">
      <c r="A32" s="12">
        <v>3</v>
      </c>
      <c r="B32" s="74">
        <f>C31</f>
      </c>
      <c r="C32" s="74">
        <f>F31</f>
      </c>
      <c r="D32" s="74">
        <f>POWER(B32,2) + B32 -6</f>
      </c>
      <c r="E32" s="74">
        <f>POWER(C32,2) + C32 -6</f>
      </c>
      <c r="F32" s="74">
        <f>C32-(E32*(B32-C32))/(D32-E32)</f>
      </c>
      <c r="G32" s="95">
        <f>$B$20</f>
      </c>
      <c r="H32" s="96">
        <f>ABS(F32-C32)</f>
      </c>
      <c r="I32" s="72">
        <f>IF(H32&lt;G32, " FIM!", "")</f>
      </c>
    </row>
    <row x14ac:dyDescent="0.25" r="33" customHeight="1" ht="19.5">
      <c r="A33" s="1"/>
      <c r="B33" s="52"/>
      <c r="C33" s="68"/>
      <c r="D33" s="52"/>
      <c r="E33" s="52"/>
      <c r="F33" s="52"/>
      <c r="G33" s="5"/>
      <c r="H33" s="6"/>
      <c r="I33" s="61"/>
    </row>
    <row x14ac:dyDescent="0.25" r="34" customHeight="1" ht="16.5">
      <c r="A34" s="1"/>
      <c r="B34" s="52"/>
      <c r="C34" s="68"/>
      <c r="D34" s="52"/>
      <c r="E34" s="52"/>
      <c r="F34" s="52"/>
      <c r="G34" s="5"/>
      <c r="H34" s="6"/>
      <c r="I34" s="7"/>
    </row>
    <row x14ac:dyDescent="0.25" r="35" customHeight="1" ht="18.75">
      <c r="A35" s="1"/>
      <c r="B35" s="112" t="s">
        <v>16</v>
      </c>
      <c r="C35" s="113">
        <f>F32</f>
      </c>
      <c r="D35" s="52"/>
      <c r="E35" s="52"/>
      <c r="F35" s="52"/>
      <c r="G35" s="5"/>
      <c r="H35" s="6"/>
      <c r="I3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4"/>
  <sheetViews>
    <sheetView workbookViewId="0"/>
  </sheetViews>
  <sheetFormatPr defaultRowHeight="15" x14ac:dyDescent="0.25"/>
  <cols>
    <col min="1" max="1" style="43" width="9.005" customWidth="1" bestFit="1"/>
    <col min="2" max="2" style="78" width="12.147857142857141" customWidth="1" bestFit="1"/>
    <col min="3" max="3" style="78" width="16.14785714285714" customWidth="1" bestFit="1"/>
    <col min="4" max="4" style="78" width="15.576428571428572" customWidth="1" bestFit="1"/>
    <col min="5" max="5" style="78" width="10.005" customWidth="1" bestFit="1"/>
    <col min="6" max="6" style="78" width="13.43357142857143" customWidth="1" bestFit="1"/>
    <col min="7" max="7" style="47" width="10.719285714285713" customWidth="1" bestFit="1"/>
    <col min="8" max="8" style="48" width="13.147857142857141" customWidth="1" bestFit="1"/>
    <col min="9" max="9" style="49" width="12.290714285714287" customWidth="1" bestFit="1"/>
    <col min="10" max="10" style="49" width="7.862142857142857" customWidth="1" bestFit="1"/>
    <col min="11" max="11" style="49" width="13.147857142857141" customWidth="1" bestFit="1"/>
  </cols>
  <sheetData>
    <row x14ac:dyDescent="0.25" r="1" customHeight="1" ht="16.5">
      <c r="A1" s="8" t="s">
        <v>39</v>
      </c>
      <c r="B1" s="51"/>
      <c r="C1" s="51"/>
      <c r="D1" s="52"/>
      <c r="E1" s="52"/>
      <c r="F1" s="52"/>
      <c r="G1" s="5"/>
      <c r="H1" s="6"/>
      <c r="I1" s="7"/>
      <c r="J1" s="7"/>
      <c r="K1" s="7"/>
    </row>
    <row x14ac:dyDescent="0.25" r="2" customHeight="1" ht="16.5">
      <c r="A2" s="1"/>
      <c r="B2" s="52"/>
      <c r="C2" s="52"/>
      <c r="D2" s="52"/>
      <c r="E2" s="52"/>
      <c r="F2" s="52"/>
      <c r="G2" s="5"/>
      <c r="H2" s="6"/>
      <c r="I2" s="7"/>
      <c r="J2" s="7"/>
      <c r="K2" s="7"/>
    </row>
    <row x14ac:dyDescent="0.25" r="3" customHeight="1" ht="16.5">
      <c r="A3" s="69"/>
      <c r="B3" s="51"/>
      <c r="C3" s="51"/>
      <c r="D3" s="52"/>
      <c r="E3" s="52"/>
      <c r="F3" s="52"/>
      <c r="G3" s="5"/>
      <c r="H3" s="6"/>
      <c r="I3" s="7"/>
      <c r="J3" s="7"/>
      <c r="K3" s="7"/>
    </row>
    <row x14ac:dyDescent="0.25" r="4" customHeight="1" ht="16.5">
      <c r="A4" s="9" t="s">
        <v>3</v>
      </c>
      <c r="B4" s="53" t="s">
        <v>40</v>
      </c>
      <c r="C4" s="54"/>
      <c r="D4" s="52"/>
      <c r="E4" s="52"/>
      <c r="F4" s="52"/>
      <c r="G4" s="5"/>
      <c r="H4" s="6"/>
      <c r="I4" s="7"/>
      <c r="J4" s="7"/>
      <c r="K4" s="7"/>
    </row>
    <row x14ac:dyDescent="0.25" r="5" customHeight="1" ht="16.5">
      <c r="A5" s="50"/>
      <c r="B5" s="55"/>
      <c r="C5" s="51"/>
      <c r="D5" s="52"/>
      <c r="E5" s="52"/>
      <c r="F5" s="52"/>
      <c r="G5" s="5"/>
      <c r="H5" s="6"/>
      <c r="I5" s="7"/>
      <c r="J5" s="7"/>
      <c r="K5" s="7"/>
    </row>
    <row x14ac:dyDescent="0.25" r="6" customHeight="1" ht="16.5">
      <c r="A6" s="11" t="s">
        <v>2</v>
      </c>
      <c r="B6" s="56" t="s">
        <v>3</v>
      </c>
      <c r="C6" s="51"/>
      <c r="D6" s="52"/>
      <c r="E6" s="52"/>
      <c r="F6" s="52"/>
      <c r="G6" s="5"/>
      <c r="H6" s="6"/>
      <c r="I6" s="7"/>
      <c r="J6" s="7"/>
      <c r="K6" s="7"/>
    </row>
    <row x14ac:dyDescent="0.25" r="7" customHeight="1" ht="16.5">
      <c r="A7" s="12">
        <v>-5</v>
      </c>
      <c r="B7" s="57">
        <f>3*A7-COS(A7)</f>
      </c>
      <c r="C7" s="51"/>
      <c r="D7" s="52"/>
      <c r="E7" s="52"/>
      <c r="F7" s="52"/>
      <c r="G7" s="5"/>
      <c r="H7" s="6"/>
      <c r="I7" s="7"/>
      <c r="J7" s="7"/>
      <c r="K7" s="7"/>
    </row>
    <row x14ac:dyDescent="0.25" r="8" customHeight="1" ht="16.5">
      <c r="A8" s="12">
        <v>-4</v>
      </c>
      <c r="B8" s="57">
        <f>3*A8-COS(A8)</f>
      </c>
      <c r="C8" s="51"/>
      <c r="D8" s="52"/>
      <c r="E8" s="52"/>
      <c r="F8" s="52"/>
      <c r="G8" s="5"/>
      <c r="H8" s="6"/>
      <c r="I8" s="7"/>
      <c r="J8" s="7"/>
      <c r="K8" s="7"/>
    </row>
    <row x14ac:dyDescent="0.25" r="9" customHeight="1" ht="16.5">
      <c r="A9" s="12">
        <v>-3</v>
      </c>
      <c r="B9" s="57">
        <f>3*A9-COS(A9)</f>
      </c>
      <c r="C9" s="51"/>
      <c r="D9" s="52"/>
      <c r="E9" s="52"/>
      <c r="F9" s="52"/>
      <c r="G9" s="5"/>
      <c r="H9" s="6"/>
      <c r="I9" s="7"/>
      <c r="J9" s="7"/>
      <c r="K9" s="7"/>
    </row>
    <row x14ac:dyDescent="0.25" r="10" customHeight="1" ht="16.5">
      <c r="A10" s="12">
        <v>-2</v>
      </c>
      <c r="B10" s="57">
        <f>3*A10-COS(A10)</f>
      </c>
      <c r="C10" s="51"/>
      <c r="D10" s="52"/>
      <c r="E10" s="52"/>
      <c r="F10" s="52"/>
      <c r="G10" s="5"/>
      <c r="H10" s="6"/>
      <c r="I10" s="7"/>
      <c r="J10" s="7"/>
      <c r="K10" s="7"/>
    </row>
    <row x14ac:dyDescent="0.25" r="11" customHeight="1" ht="16.5">
      <c r="A11" s="12">
        <v>-1</v>
      </c>
      <c r="B11" s="57">
        <f>3*A11-COS(A11)</f>
      </c>
      <c r="C11" s="51"/>
      <c r="D11" s="52"/>
      <c r="E11" s="52"/>
      <c r="F11" s="52"/>
      <c r="G11" s="5"/>
      <c r="H11" s="6"/>
      <c r="I11" s="7"/>
      <c r="J11" s="7"/>
      <c r="K11" s="7"/>
    </row>
    <row x14ac:dyDescent="0.25" r="12" customHeight="1" ht="16.5">
      <c r="A12" s="83">
        <v>0</v>
      </c>
      <c r="B12" s="84">
        <f>3*A12-COS(A12)</f>
      </c>
      <c r="C12" s="51"/>
      <c r="D12" s="52"/>
      <c r="E12" s="52"/>
      <c r="F12" s="52"/>
      <c r="G12" s="5"/>
      <c r="H12" s="6"/>
      <c r="I12" s="7"/>
      <c r="J12" s="7"/>
      <c r="K12" s="7"/>
    </row>
    <row x14ac:dyDescent="0.25" r="13" customHeight="1" ht="16.5">
      <c r="A13" s="83">
        <v>1</v>
      </c>
      <c r="B13" s="84">
        <f>3*A13-COS(A13)</f>
      </c>
      <c r="C13" s="51"/>
      <c r="D13" s="52"/>
      <c r="E13" s="52"/>
      <c r="F13" s="52"/>
      <c r="G13" s="5"/>
      <c r="H13" s="6"/>
      <c r="I13" s="7"/>
      <c r="J13" s="7"/>
      <c r="K13" s="7"/>
    </row>
    <row x14ac:dyDescent="0.25" r="14" customHeight="1" ht="16.5">
      <c r="A14" s="12">
        <v>2</v>
      </c>
      <c r="B14" s="57">
        <f>3*A14-COS(A14)</f>
      </c>
      <c r="C14" s="51"/>
      <c r="D14" s="52"/>
      <c r="E14" s="52"/>
      <c r="F14" s="52"/>
      <c r="G14" s="5"/>
      <c r="H14" s="6"/>
      <c r="I14" s="7"/>
      <c r="J14" s="7"/>
      <c r="K14" s="7"/>
    </row>
    <row x14ac:dyDescent="0.25" r="15" customHeight="1" ht="16.5">
      <c r="A15" s="12">
        <v>3</v>
      </c>
      <c r="B15" s="57">
        <f>3*A15-COS(A15)</f>
      </c>
      <c r="C15" s="51"/>
      <c r="D15" s="52"/>
      <c r="E15" s="52"/>
      <c r="F15" s="52"/>
      <c r="G15" s="5"/>
      <c r="H15" s="6"/>
      <c r="I15" s="7"/>
      <c r="J15" s="7"/>
      <c r="K15" s="7"/>
    </row>
    <row x14ac:dyDescent="0.25" r="16" customHeight="1" ht="16.5">
      <c r="A16" s="12">
        <v>4</v>
      </c>
      <c r="B16" s="57">
        <f>3*A16-COS(A16)</f>
      </c>
      <c r="C16" s="51"/>
      <c r="D16" s="52"/>
      <c r="E16" s="52"/>
      <c r="F16" s="52"/>
      <c r="G16" s="5"/>
      <c r="H16" s="6"/>
      <c r="I16" s="7"/>
      <c r="J16" s="7"/>
      <c r="K16" s="7"/>
    </row>
    <row x14ac:dyDescent="0.25" r="17" customHeight="1" ht="16.5">
      <c r="A17" s="12">
        <v>5</v>
      </c>
      <c r="B17" s="57">
        <f>3*A17-COS(A17)</f>
      </c>
      <c r="C17" s="51"/>
      <c r="D17" s="51"/>
      <c r="E17" s="51"/>
      <c r="F17" s="51"/>
      <c r="G17" s="85"/>
      <c r="H17" s="86"/>
      <c r="I17" s="61"/>
      <c r="J17" s="61"/>
      <c r="K17" s="61"/>
    </row>
    <row x14ac:dyDescent="0.25" r="18" customHeight="1" ht="16.5">
      <c r="A18" s="1"/>
      <c r="B18" s="52"/>
      <c r="C18" s="52"/>
      <c r="D18" s="52"/>
      <c r="E18" s="52"/>
      <c r="F18" s="52"/>
      <c r="G18" s="5"/>
      <c r="H18" s="6"/>
      <c r="I18" s="7"/>
      <c r="J18" s="7"/>
      <c r="K18" s="7"/>
    </row>
    <row x14ac:dyDescent="0.25" r="19" customHeight="1" ht="16.5">
      <c r="A19" s="1"/>
      <c r="B19" s="52"/>
      <c r="C19" s="52"/>
      <c r="D19" s="52"/>
      <c r="E19" s="52"/>
      <c r="F19" s="52"/>
      <c r="G19" s="5"/>
      <c r="H19" s="6"/>
      <c r="I19" s="7"/>
      <c r="J19" s="7"/>
      <c r="K19" s="7"/>
    </row>
    <row x14ac:dyDescent="0.25" r="20" customHeight="1" ht="16.5">
      <c r="A20" s="100" t="s">
        <v>4</v>
      </c>
      <c r="B20" s="101">
        <v>0.0001</v>
      </c>
      <c r="C20" s="51"/>
      <c r="D20" s="51"/>
      <c r="E20" s="51"/>
      <c r="F20" s="51"/>
      <c r="G20" s="85"/>
      <c r="H20" s="86"/>
      <c r="I20" s="61"/>
      <c r="J20" s="61"/>
      <c r="K20" s="61"/>
    </row>
    <row x14ac:dyDescent="0.25" r="21" customHeight="1" ht="16.5">
      <c r="A21" s="100" t="s">
        <v>32</v>
      </c>
      <c r="B21" s="102">
        <v>0</v>
      </c>
      <c r="C21" s="51"/>
      <c r="D21" s="51"/>
      <c r="E21" s="51"/>
      <c r="F21" s="51"/>
      <c r="G21" s="85"/>
      <c r="H21" s="86"/>
      <c r="I21" s="61"/>
      <c r="J21" s="61"/>
      <c r="K21" s="61"/>
    </row>
    <row x14ac:dyDescent="0.25" r="22" customHeight="1" ht="16.5">
      <c r="A22" s="100" t="s">
        <v>33</v>
      </c>
      <c r="B22" s="101">
        <v>0.5</v>
      </c>
      <c r="C22" s="51"/>
      <c r="D22" s="51"/>
      <c r="E22" s="51"/>
      <c r="F22" s="51"/>
      <c r="G22" s="85"/>
      <c r="H22" s="86"/>
      <c r="I22" s="61"/>
      <c r="J22" s="61"/>
      <c r="K22" s="61"/>
    </row>
    <row x14ac:dyDescent="0.25" r="23" customHeight="1" ht="16.5">
      <c r="A23" s="1"/>
      <c r="B23" s="52"/>
      <c r="C23" s="52"/>
      <c r="D23" s="52"/>
      <c r="E23" s="52"/>
      <c r="F23" s="52"/>
      <c r="G23" s="5"/>
      <c r="H23" s="6"/>
      <c r="I23" s="7"/>
      <c r="J23" s="7"/>
      <c r="K23" s="7"/>
    </row>
    <row x14ac:dyDescent="0.25" r="24" customHeight="1" ht="16.5">
      <c r="A24" s="69"/>
      <c r="B24" s="51"/>
      <c r="C24" s="51"/>
      <c r="D24" s="51"/>
      <c r="E24" s="51"/>
      <c r="F24" s="51"/>
      <c r="G24" s="85"/>
      <c r="H24" s="86"/>
      <c r="I24" s="61"/>
      <c r="J24" s="61"/>
      <c r="K24" s="61"/>
    </row>
    <row x14ac:dyDescent="0.25" r="25" customHeight="1" ht="16.5">
      <c r="A25" s="1"/>
      <c r="B25" s="52"/>
      <c r="C25" s="52"/>
      <c r="D25" s="52"/>
      <c r="E25" s="52"/>
      <c r="F25" s="52"/>
      <c r="G25" s="5"/>
      <c r="H25" s="6"/>
      <c r="I25" s="7"/>
      <c r="J25" s="7"/>
      <c r="K25" s="7"/>
    </row>
    <row x14ac:dyDescent="0.25" r="26" customHeight="1" ht="16.5">
      <c r="A26" s="50"/>
      <c r="B26" s="51"/>
      <c r="C26" s="51"/>
      <c r="D26" s="51"/>
      <c r="E26" s="51"/>
      <c r="F26" s="51"/>
      <c r="G26" s="85"/>
      <c r="H26" s="90" t="s">
        <v>26</v>
      </c>
      <c r="I26" s="61"/>
      <c r="J26" s="61"/>
      <c r="K26" s="61"/>
    </row>
    <row x14ac:dyDescent="0.25" r="27" customHeight="1" ht="16.5">
      <c r="A27" s="11" t="s">
        <v>6</v>
      </c>
      <c r="B27" s="56" t="s">
        <v>34</v>
      </c>
      <c r="C27" s="56" t="s">
        <v>27</v>
      </c>
      <c r="D27" s="56" t="s">
        <v>35</v>
      </c>
      <c r="E27" s="56" t="s">
        <v>36</v>
      </c>
      <c r="F27" s="92" t="s">
        <v>29</v>
      </c>
      <c r="G27" s="93" t="s">
        <v>14</v>
      </c>
      <c r="H27" s="94" t="s">
        <v>15</v>
      </c>
      <c r="I27" s="61"/>
      <c r="J27" s="61"/>
      <c r="K27" s="61"/>
    </row>
    <row x14ac:dyDescent="0.25" r="28" customHeight="1" ht="16.5">
      <c r="A28" s="12">
        <v>1</v>
      </c>
      <c r="B28" s="74">
        <f>B21</f>
      </c>
      <c r="C28" s="74">
        <f>B22</f>
      </c>
      <c r="D28" s="74">
        <f>3*B28-COS(B28)</f>
      </c>
      <c r="E28" s="74">
        <f>3*C28-COS(C28)</f>
      </c>
      <c r="F28" s="74">
        <f>C28-(E28*(B28-C28))/(D28-E28)</f>
      </c>
      <c r="G28" s="95">
        <f>$B$20</f>
      </c>
      <c r="H28" s="96">
        <f>ABS((F28-C28))</f>
      </c>
      <c r="I28" s="72">
        <f>IF(H28&lt;G28, " FIM!", "")</f>
      </c>
      <c r="J28" s="61"/>
      <c r="K28" s="61"/>
    </row>
    <row x14ac:dyDescent="0.25" r="29" customHeight="1" ht="16.5">
      <c r="A29" s="12">
        <v>2</v>
      </c>
      <c r="B29" s="74">
        <f>C28</f>
      </c>
      <c r="C29" s="74">
        <f>F28</f>
      </c>
      <c r="D29" s="74">
        <f>3*B29-COS(B29)</f>
      </c>
      <c r="E29" s="74">
        <f>3*C29-COS(C29)</f>
      </c>
      <c r="F29" s="74">
        <f>C29-(E29*(B29-C29))/(D29-E29)</f>
      </c>
      <c r="G29" s="95">
        <f>$B$20</f>
      </c>
      <c r="H29" s="96">
        <f>ABS((F29-C29))</f>
      </c>
      <c r="I29" s="72">
        <f>IF(H29&lt;G29, " FIM!", "")</f>
      </c>
      <c r="J29" s="61"/>
      <c r="K29" s="61"/>
    </row>
    <row x14ac:dyDescent="0.25" r="30" customHeight="1" ht="16.5">
      <c r="A30" s="12">
        <v>3</v>
      </c>
      <c r="B30" s="74">
        <f>C29</f>
      </c>
      <c r="C30" s="74">
        <f>F29</f>
      </c>
      <c r="D30" s="74">
        <f>3*B30-COS(B30)</f>
      </c>
      <c r="E30" s="74">
        <f>3*C30-COS(C30)</f>
      </c>
      <c r="F30" s="74">
        <f>C30-(E30*(B30-C30))/(D30-E30)</f>
      </c>
      <c r="G30" s="95">
        <f>$B$20</f>
      </c>
      <c r="H30" s="96">
        <f>ABS((F30-C30))</f>
      </c>
      <c r="I30" s="72">
        <f>IF(H30&lt;G30, " FIM!", "")</f>
      </c>
      <c r="J30" s="61"/>
      <c r="K30" s="61"/>
    </row>
    <row x14ac:dyDescent="0.25" r="31" customHeight="1" ht="16.5">
      <c r="A31" s="12">
        <v>4</v>
      </c>
      <c r="B31" s="74">
        <f>C30</f>
      </c>
      <c r="C31" s="74">
        <f>F30</f>
      </c>
      <c r="D31" s="74">
        <f>3*B31-COS(B31)</f>
      </c>
      <c r="E31" s="74">
        <f>3*C31-COS(C31)</f>
      </c>
      <c r="F31" s="103">
        <f>C31-(E31*(B31-C31))/(D31-E31)</f>
      </c>
      <c r="G31" s="95">
        <f>$B$20</f>
      </c>
      <c r="H31" s="96">
        <f>ABS((F31-C31))</f>
      </c>
      <c r="I31" s="72">
        <f>IF(H31&lt;G31, " FIM!", "")</f>
      </c>
      <c r="J31" s="61"/>
      <c r="K31" s="61"/>
    </row>
    <row x14ac:dyDescent="0.25" r="32" customHeight="1" ht="16.5">
      <c r="A32" s="50"/>
      <c r="B32" s="52"/>
      <c r="C32" s="52"/>
      <c r="D32" s="52"/>
      <c r="E32" s="51"/>
      <c r="F32" s="51"/>
      <c r="G32" s="85"/>
      <c r="H32" s="86"/>
      <c r="I32" s="61"/>
      <c r="J32" s="61"/>
      <c r="K32" s="61"/>
    </row>
    <row x14ac:dyDescent="0.25" r="33" customHeight="1" ht="16.5">
      <c r="A33" s="50"/>
      <c r="B33" s="55" t="s">
        <v>16</v>
      </c>
      <c r="C33" s="76">
        <f>F31</f>
      </c>
      <c r="D33" s="98"/>
      <c r="E33" s="51"/>
      <c r="F33" s="51"/>
      <c r="G33" s="85"/>
      <c r="H33" s="86"/>
      <c r="I33" s="61"/>
      <c r="J33" s="61"/>
      <c r="K33" s="61"/>
    </row>
    <row x14ac:dyDescent="0.25" r="34" customHeight="1" ht="16.5">
      <c r="A34" s="50"/>
      <c r="B34" s="51"/>
      <c r="C34" s="51"/>
      <c r="D34" s="51"/>
      <c r="E34" s="51"/>
      <c r="F34" s="51"/>
      <c r="G34" s="85"/>
      <c r="H34" s="86"/>
      <c r="I34" s="61"/>
      <c r="J34" s="61"/>
      <c r="K34" s="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3"/>
  <sheetViews>
    <sheetView workbookViewId="0"/>
  </sheetViews>
  <sheetFormatPr defaultRowHeight="15" x14ac:dyDescent="0.25"/>
  <cols>
    <col min="1" max="1" style="43" width="9.005" customWidth="1" bestFit="1"/>
    <col min="2" max="2" style="78" width="12.147857142857141" customWidth="1" bestFit="1"/>
    <col min="3" max="3" style="78" width="16.14785714285714" customWidth="1" bestFit="1"/>
    <col min="4" max="4" style="46" width="13.43357142857143" customWidth="1" bestFit="1"/>
    <col min="5" max="5" style="46" width="10.005" customWidth="1" bestFit="1"/>
    <col min="6" max="6" style="78" width="13.43357142857143" customWidth="1" bestFit="1"/>
    <col min="7" max="7" style="47" width="10.719285714285713" customWidth="1" bestFit="1"/>
    <col min="8" max="8" style="48" width="13.147857142857141" customWidth="1" bestFit="1"/>
    <col min="9" max="9" style="49" width="12.290714285714287" customWidth="1" bestFit="1"/>
    <col min="10" max="10" style="49" width="7.862142857142857" customWidth="1" bestFit="1"/>
    <col min="11" max="11" style="49" width="13.147857142857141" customWidth="1" bestFit="1"/>
  </cols>
  <sheetData>
    <row x14ac:dyDescent="0.25" r="1" customHeight="1" ht="16.5">
      <c r="A1" s="8" t="s">
        <v>37</v>
      </c>
      <c r="B1" s="51"/>
      <c r="C1" s="51"/>
      <c r="D1" s="4"/>
      <c r="E1" s="4"/>
      <c r="F1" s="52"/>
      <c r="G1" s="5"/>
      <c r="H1" s="6"/>
      <c r="I1" s="7"/>
      <c r="J1" s="7"/>
      <c r="K1" s="7"/>
    </row>
    <row x14ac:dyDescent="0.25" r="2" customHeight="1" ht="16.5">
      <c r="A2" s="1"/>
      <c r="B2" s="52"/>
      <c r="C2" s="52"/>
      <c r="D2" s="4"/>
      <c r="E2" s="4"/>
      <c r="F2" s="52"/>
      <c r="G2" s="5"/>
      <c r="H2" s="6"/>
      <c r="I2" s="7"/>
      <c r="J2" s="7"/>
      <c r="K2" s="7"/>
    </row>
    <row x14ac:dyDescent="0.25" r="3" customHeight="1" ht="16.5">
      <c r="A3" s="69"/>
      <c r="B3" s="51"/>
      <c r="C3" s="51"/>
      <c r="D3" s="4"/>
      <c r="E3" s="4"/>
      <c r="F3" s="52"/>
      <c r="G3" s="5"/>
      <c r="H3" s="6"/>
      <c r="I3" s="7"/>
      <c r="J3" s="7"/>
      <c r="K3" s="7"/>
    </row>
    <row x14ac:dyDescent="0.25" r="4" customHeight="1" ht="16.5">
      <c r="A4" s="9" t="s">
        <v>3</v>
      </c>
      <c r="B4" s="53" t="s">
        <v>38</v>
      </c>
      <c r="C4" s="54"/>
      <c r="D4" s="4"/>
      <c r="E4" s="4"/>
      <c r="F4" s="52"/>
      <c r="G4" s="5"/>
      <c r="H4" s="6"/>
      <c r="I4" s="7"/>
      <c r="J4" s="7"/>
      <c r="K4" s="7"/>
    </row>
    <row x14ac:dyDescent="0.25" r="5" customHeight="1" ht="16.5">
      <c r="A5" s="50"/>
      <c r="B5" s="55"/>
      <c r="C5" s="51"/>
      <c r="D5" s="4"/>
      <c r="E5" s="4"/>
      <c r="F5" s="52"/>
      <c r="G5" s="5"/>
      <c r="H5" s="6"/>
      <c r="I5" s="7"/>
      <c r="J5" s="7"/>
      <c r="K5" s="7"/>
    </row>
    <row x14ac:dyDescent="0.25" r="6" customHeight="1" ht="16.5">
      <c r="A6" s="11" t="s">
        <v>2</v>
      </c>
      <c r="B6" s="56" t="s">
        <v>3</v>
      </c>
      <c r="C6" s="51"/>
      <c r="D6" s="4"/>
      <c r="E6" s="4"/>
      <c r="F6" s="52"/>
      <c r="G6" s="5"/>
      <c r="H6" s="6"/>
      <c r="I6" s="7"/>
      <c r="J6" s="7"/>
      <c r="K6" s="7"/>
    </row>
    <row x14ac:dyDescent="0.25" r="7" customHeight="1" ht="16.5">
      <c r="A7" s="12">
        <v>-5</v>
      </c>
      <c r="B7" s="57">
        <f>POWER(A7,3)-4</f>
      </c>
      <c r="C7" s="51"/>
      <c r="D7" s="4"/>
      <c r="E7" s="4"/>
      <c r="F7" s="52"/>
      <c r="G7" s="5"/>
      <c r="H7" s="6"/>
      <c r="I7" s="7"/>
      <c r="J7" s="7"/>
      <c r="K7" s="7"/>
    </row>
    <row x14ac:dyDescent="0.25" r="8" customHeight="1" ht="16.5">
      <c r="A8" s="12">
        <v>-4</v>
      </c>
      <c r="B8" s="57">
        <f>POWER(A8,3)-4</f>
      </c>
      <c r="C8" s="51"/>
      <c r="D8" s="4"/>
      <c r="E8" s="4"/>
      <c r="F8" s="52"/>
      <c r="G8" s="5"/>
      <c r="H8" s="6"/>
      <c r="I8" s="7"/>
      <c r="J8" s="7"/>
      <c r="K8" s="7"/>
    </row>
    <row x14ac:dyDescent="0.25" r="9" customHeight="1" ht="16.5">
      <c r="A9" s="12">
        <v>-3</v>
      </c>
      <c r="B9" s="57">
        <f>POWER(A9,3)-4</f>
      </c>
      <c r="C9" s="51"/>
      <c r="D9" s="4"/>
      <c r="E9" s="4"/>
      <c r="F9" s="52"/>
      <c r="G9" s="5"/>
      <c r="H9" s="6"/>
      <c r="I9" s="7"/>
      <c r="J9" s="7"/>
      <c r="K9" s="7"/>
    </row>
    <row x14ac:dyDescent="0.25" r="10" customHeight="1" ht="16.5">
      <c r="A10" s="12">
        <v>-2</v>
      </c>
      <c r="B10" s="57">
        <f>POWER(A10,3)-4</f>
      </c>
      <c r="C10" s="51"/>
      <c r="D10" s="4"/>
      <c r="E10" s="4"/>
      <c r="F10" s="52"/>
      <c r="G10" s="5"/>
      <c r="H10" s="6"/>
      <c r="I10" s="7"/>
      <c r="J10" s="7"/>
      <c r="K10" s="7"/>
    </row>
    <row x14ac:dyDescent="0.25" r="11" customHeight="1" ht="16.5">
      <c r="A11" s="12">
        <v>-1</v>
      </c>
      <c r="B11" s="57">
        <f>POWER(A11,3)-4</f>
      </c>
      <c r="C11" s="51"/>
      <c r="D11" s="4"/>
      <c r="E11" s="4"/>
      <c r="F11" s="52"/>
      <c r="G11" s="5"/>
      <c r="H11" s="6"/>
      <c r="I11" s="7"/>
      <c r="J11" s="7"/>
      <c r="K11" s="7"/>
    </row>
    <row x14ac:dyDescent="0.25" r="12" customHeight="1" ht="16.5">
      <c r="A12" s="12">
        <v>0</v>
      </c>
      <c r="B12" s="57">
        <f>POWER(A12,3)-4</f>
      </c>
      <c r="C12" s="51"/>
      <c r="D12" s="4"/>
      <c r="E12" s="4"/>
      <c r="F12" s="52"/>
      <c r="G12" s="5"/>
      <c r="H12" s="6"/>
      <c r="I12" s="7"/>
      <c r="J12" s="7"/>
      <c r="K12" s="7"/>
    </row>
    <row x14ac:dyDescent="0.25" r="13" customHeight="1" ht="16.5">
      <c r="A13" s="83">
        <v>1</v>
      </c>
      <c r="B13" s="84">
        <f>POWER(A13,3)-4</f>
      </c>
      <c r="C13" s="51"/>
      <c r="D13" s="4"/>
      <c r="E13" s="4"/>
      <c r="F13" s="52"/>
      <c r="G13" s="5"/>
      <c r="H13" s="6"/>
      <c r="I13" s="7"/>
      <c r="J13" s="7"/>
      <c r="K13" s="7"/>
    </row>
    <row x14ac:dyDescent="0.25" r="14" customHeight="1" ht="16.5">
      <c r="A14" s="83">
        <v>2</v>
      </c>
      <c r="B14" s="84">
        <f>POWER(A14,3)-4</f>
      </c>
      <c r="C14" s="51"/>
      <c r="D14" s="4"/>
      <c r="E14" s="4"/>
      <c r="F14" s="52"/>
      <c r="G14" s="5"/>
      <c r="H14" s="6"/>
      <c r="I14" s="7"/>
      <c r="J14" s="7"/>
      <c r="K14" s="7"/>
    </row>
    <row x14ac:dyDescent="0.25" r="15" customHeight="1" ht="16.5">
      <c r="A15" s="12">
        <v>3</v>
      </c>
      <c r="B15" s="57">
        <f>POWER(A15,3)-4</f>
      </c>
      <c r="C15" s="51"/>
      <c r="D15" s="4"/>
      <c r="E15" s="4"/>
      <c r="F15" s="52"/>
      <c r="G15" s="5"/>
      <c r="H15" s="6"/>
      <c r="I15" s="7"/>
      <c r="J15" s="7"/>
      <c r="K15" s="7"/>
    </row>
    <row x14ac:dyDescent="0.25" r="16" customHeight="1" ht="16.5">
      <c r="A16" s="12">
        <v>4</v>
      </c>
      <c r="B16" s="57">
        <f>POWER(A16,3)-4</f>
      </c>
      <c r="C16" s="51"/>
      <c r="D16" s="4"/>
      <c r="E16" s="4"/>
      <c r="F16" s="52"/>
      <c r="G16" s="5"/>
      <c r="H16" s="6"/>
      <c r="I16" s="7"/>
      <c r="J16" s="7"/>
      <c r="K16" s="7"/>
    </row>
    <row x14ac:dyDescent="0.25" r="17" customHeight="1" ht="16.5">
      <c r="A17" s="12">
        <v>5</v>
      </c>
      <c r="B17" s="57">
        <f>POWER(A17,3)-4</f>
      </c>
      <c r="C17" s="51"/>
      <c r="D17" s="60"/>
      <c r="E17" s="60"/>
      <c r="F17" s="51"/>
      <c r="G17" s="85"/>
      <c r="H17" s="86"/>
      <c r="I17" s="61"/>
      <c r="J17" s="61"/>
      <c r="K17" s="61"/>
    </row>
    <row x14ac:dyDescent="0.25" r="18" customHeight="1" ht="16.5">
      <c r="A18" s="1"/>
      <c r="B18" s="52"/>
      <c r="C18" s="52"/>
      <c r="D18" s="4"/>
      <c r="E18" s="4"/>
      <c r="F18" s="52"/>
      <c r="G18" s="5"/>
      <c r="H18" s="6"/>
      <c r="I18" s="7"/>
      <c r="J18" s="7"/>
      <c r="K18" s="7"/>
    </row>
    <row x14ac:dyDescent="0.25" r="19" customHeight="1" ht="16.5">
      <c r="A19" s="1"/>
      <c r="B19" s="52"/>
      <c r="C19" s="52"/>
      <c r="D19" s="4"/>
      <c r="E19" s="4"/>
      <c r="F19" s="52"/>
      <c r="G19" s="5"/>
      <c r="H19" s="6"/>
      <c r="I19" s="7"/>
      <c r="J19" s="7"/>
      <c r="K19" s="7"/>
    </row>
    <row x14ac:dyDescent="0.25" r="20" customHeight="1" ht="16.5">
      <c r="A20" s="100" t="s">
        <v>4</v>
      </c>
      <c r="B20" s="101">
        <v>0.05</v>
      </c>
      <c r="C20" s="51"/>
      <c r="D20" s="60"/>
      <c r="E20" s="60"/>
      <c r="F20" s="51"/>
      <c r="G20" s="85"/>
      <c r="H20" s="86"/>
      <c r="I20" s="61"/>
      <c r="J20" s="61"/>
      <c r="K20" s="61"/>
    </row>
    <row x14ac:dyDescent="0.25" r="21" customHeight="1" ht="16.5">
      <c r="A21" s="100" t="s">
        <v>32</v>
      </c>
      <c r="B21" s="102">
        <v>1</v>
      </c>
      <c r="C21" s="51"/>
      <c r="D21" s="60"/>
      <c r="E21" s="60"/>
      <c r="F21" s="51"/>
      <c r="G21" s="85"/>
      <c r="H21" s="86"/>
      <c r="I21" s="61"/>
      <c r="J21" s="61"/>
      <c r="K21" s="61"/>
    </row>
    <row x14ac:dyDescent="0.25" r="22" customHeight="1" ht="16.5">
      <c r="A22" s="100" t="s">
        <v>33</v>
      </c>
      <c r="B22" s="102">
        <v>2</v>
      </c>
      <c r="C22" s="51"/>
      <c r="D22" s="60"/>
      <c r="E22" s="60"/>
      <c r="F22" s="51"/>
      <c r="G22" s="85"/>
      <c r="H22" s="86"/>
      <c r="I22" s="61"/>
      <c r="J22" s="61"/>
      <c r="K22" s="61"/>
    </row>
    <row x14ac:dyDescent="0.25" r="23" customHeight="1" ht="16.5">
      <c r="A23" s="1"/>
      <c r="B23" s="52"/>
      <c r="C23" s="52"/>
      <c r="D23" s="4"/>
      <c r="E23" s="4"/>
      <c r="F23" s="52"/>
      <c r="G23" s="5"/>
      <c r="H23" s="6"/>
      <c r="I23" s="7"/>
      <c r="J23" s="7"/>
      <c r="K23" s="7"/>
    </row>
    <row x14ac:dyDescent="0.25" r="24" customHeight="1" ht="16.5">
      <c r="A24" s="69"/>
      <c r="B24" s="51"/>
      <c r="C24" s="51"/>
      <c r="D24" s="60"/>
      <c r="E24" s="60"/>
      <c r="F24" s="51"/>
      <c r="G24" s="85"/>
      <c r="H24" s="86"/>
      <c r="I24" s="61"/>
      <c r="J24" s="61"/>
      <c r="K24" s="61"/>
    </row>
    <row x14ac:dyDescent="0.25" r="25" customHeight="1" ht="16.5">
      <c r="A25" s="50"/>
      <c r="B25" s="51"/>
      <c r="C25" s="51"/>
      <c r="D25" s="60"/>
      <c r="E25" s="60"/>
      <c r="F25" s="51"/>
      <c r="G25" s="85"/>
      <c r="H25" s="90" t="s">
        <v>26</v>
      </c>
      <c r="I25" s="61"/>
      <c r="J25" s="61"/>
      <c r="K25" s="61"/>
    </row>
    <row x14ac:dyDescent="0.25" r="26" customHeight="1" ht="16.5">
      <c r="A26" s="11" t="s">
        <v>6</v>
      </c>
      <c r="B26" s="56" t="s">
        <v>34</v>
      </c>
      <c r="C26" s="56" t="s">
        <v>27</v>
      </c>
      <c r="D26" s="73" t="s">
        <v>35</v>
      </c>
      <c r="E26" s="73" t="s">
        <v>36</v>
      </c>
      <c r="F26" s="92" t="s">
        <v>29</v>
      </c>
      <c r="G26" s="93" t="s">
        <v>14</v>
      </c>
      <c r="H26" s="94" t="s">
        <v>15</v>
      </c>
      <c r="I26" s="61"/>
      <c r="J26" s="61"/>
      <c r="K26" s="61"/>
    </row>
    <row x14ac:dyDescent="0.25" r="27" customHeight="1" ht="16.5">
      <c r="A27" s="12">
        <v>1</v>
      </c>
      <c r="B27" s="74">
        <f>B21</f>
      </c>
      <c r="C27" s="74">
        <f>B22</f>
      </c>
      <c r="D27" s="57">
        <f>POWER(B27,3)-4</f>
      </c>
      <c r="E27" s="57">
        <f>POWER(C27,3)-4</f>
      </c>
      <c r="F27" s="74">
        <f>C27-(E27*(B27-C27))/(D27-E27)</f>
      </c>
      <c r="G27" s="95">
        <f>$B$20</f>
      </c>
      <c r="H27" s="96">
        <f>ABS((F27-C27))</f>
      </c>
      <c r="I27" s="72">
        <f>IF(H27&lt;G27, " FIM!", "")</f>
      </c>
      <c r="J27" s="61"/>
      <c r="K27" s="61"/>
    </row>
    <row x14ac:dyDescent="0.25" r="28" customHeight="1" ht="16.5">
      <c r="A28" s="12">
        <v>2</v>
      </c>
      <c r="B28" s="74">
        <f>C27</f>
      </c>
      <c r="C28" s="74">
        <f>F27</f>
      </c>
      <c r="D28" s="57">
        <f>POWER(B28,3)-4</f>
      </c>
      <c r="E28" s="57">
        <f>POWER(C28,3)-4</f>
      </c>
      <c r="F28" s="74">
        <f>C28-(E28*(B28-C28))/(D28-E28)</f>
      </c>
      <c r="G28" s="95">
        <f>$B$20</f>
      </c>
      <c r="H28" s="96">
        <f>ABS((F28-C28))</f>
      </c>
      <c r="I28" s="72">
        <f>IF(H28&lt;G28, " FIM!", "")</f>
      </c>
      <c r="J28" s="61"/>
      <c r="K28" s="61"/>
    </row>
    <row x14ac:dyDescent="0.25" r="29" customHeight="1" ht="16.5">
      <c r="A29" s="12">
        <v>3</v>
      </c>
      <c r="B29" s="74">
        <f>C28</f>
      </c>
      <c r="C29" s="74">
        <f>F28</f>
      </c>
      <c r="D29" s="57">
        <f>POWER(B29,3)-4</f>
      </c>
      <c r="E29" s="57">
        <f>POWER(C29,3)-4</f>
      </c>
      <c r="F29" s="74">
        <f>C29-(E29*(B29-C29))/(D29-E29)</f>
      </c>
      <c r="G29" s="95">
        <f>$B$20</f>
      </c>
      <c r="H29" s="96">
        <f>ABS((F29-C29))</f>
      </c>
      <c r="I29" s="72">
        <f>IF(H29&lt;G29, " FIM!", "")</f>
      </c>
      <c r="J29" s="61"/>
      <c r="K29" s="61"/>
    </row>
    <row x14ac:dyDescent="0.25" r="30" customHeight="1" ht="16.5">
      <c r="A30" s="50"/>
      <c r="B30" s="51"/>
      <c r="C30" s="51"/>
      <c r="D30" s="60"/>
      <c r="E30" s="60"/>
      <c r="F30" s="51"/>
      <c r="G30" s="85"/>
      <c r="H30" s="86"/>
      <c r="I30" s="61"/>
      <c r="J30" s="61"/>
      <c r="K30" s="61"/>
    </row>
    <row x14ac:dyDescent="0.25" r="31" customHeight="1" ht="16.5">
      <c r="A31" s="50"/>
      <c r="B31" s="55" t="s">
        <v>16</v>
      </c>
      <c r="C31" s="76">
        <f>F29</f>
      </c>
      <c r="D31" s="57"/>
      <c r="E31" s="60"/>
      <c r="F31" s="51"/>
      <c r="G31" s="85"/>
      <c r="H31" s="86"/>
      <c r="I31" s="61"/>
      <c r="J31" s="61"/>
      <c r="K31" s="61"/>
    </row>
    <row x14ac:dyDescent="0.25" r="32" customHeight="1" ht="16.5">
      <c r="A32" s="50"/>
      <c r="B32" s="51"/>
      <c r="C32" s="51"/>
      <c r="D32" s="60"/>
      <c r="E32" s="60"/>
      <c r="F32" s="51"/>
      <c r="G32" s="85"/>
      <c r="H32" s="86"/>
      <c r="I32" s="61"/>
      <c r="J32" s="61"/>
      <c r="K32" s="61"/>
    </row>
    <row x14ac:dyDescent="0.25" r="33" customHeight="1" ht="16.5">
      <c r="A33" s="50"/>
      <c r="B33" s="51"/>
      <c r="C33" s="51"/>
      <c r="D33" s="60"/>
      <c r="E33" s="60"/>
      <c r="F33" s="51"/>
      <c r="G33" s="85"/>
      <c r="H33" s="86"/>
      <c r="I33" s="61"/>
      <c r="J33" s="61"/>
      <c r="K33" s="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3"/>
  <sheetViews>
    <sheetView workbookViewId="0"/>
  </sheetViews>
  <sheetFormatPr defaultRowHeight="15" x14ac:dyDescent="0.25"/>
  <cols>
    <col min="1" max="1" style="43" width="9.005" customWidth="1" bestFit="1"/>
    <col min="2" max="2" style="78" width="12.147857142857141" customWidth="1" bestFit="1"/>
    <col min="3" max="3" style="99" width="16.14785714285714" customWidth="1" bestFit="1"/>
    <col min="4" max="4" style="46" width="13.43357142857143" customWidth="1" bestFit="1"/>
    <col min="5" max="5" style="46" width="10.005" customWidth="1" bestFit="1"/>
    <col min="6" max="6" style="78" width="13.43357142857143" customWidth="1" bestFit="1"/>
    <col min="7" max="7" style="47" width="10.719285714285713" customWidth="1" bestFit="1"/>
    <col min="8" max="8" style="48" width="13.147857142857141" customWidth="1" bestFit="1"/>
    <col min="9" max="9" style="49" width="12.290714285714287" customWidth="1" bestFit="1"/>
    <col min="10" max="10" style="49" width="7.862142857142857" customWidth="1" bestFit="1"/>
    <col min="11" max="11" style="49" width="13.147857142857141" customWidth="1" bestFit="1"/>
  </cols>
  <sheetData>
    <row x14ac:dyDescent="0.25" r="1" customHeight="1" ht="16.5">
      <c r="A1" s="8" t="s">
        <v>30</v>
      </c>
      <c r="B1" s="51"/>
      <c r="C1" s="80"/>
      <c r="D1" s="4"/>
      <c r="E1" s="4"/>
      <c r="F1" s="52"/>
      <c r="G1" s="5"/>
      <c r="H1" s="6"/>
      <c r="I1" s="7"/>
      <c r="J1" s="7"/>
      <c r="K1" s="7"/>
    </row>
    <row x14ac:dyDescent="0.25" r="2" customHeight="1" ht="16.5">
      <c r="A2" s="1"/>
      <c r="B2" s="52"/>
      <c r="C2" s="81"/>
      <c r="D2" s="4"/>
      <c r="E2" s="4"/>
      <c r="F2" s="52"/>
      <c r="G2" s="5"/>
      <c r="H2" s="6"/>
      <c r="I2" s="7"/>
      <c r="J2" s="7"/>
      <c r="K2" s="7"/>
    </row>
    <row x14ac:dyDescent="0.25" r="3" customHeight="1" ht="16.5">
      <c r="A3" s="69"/>
      <c r="B3" s="51"/>
      <c r="C3" s="80"/>
      <c r="D3" s="4"/>
      <c r="E3" s="4"/>
      <c r="F3" s="52"/>
      <c r="G3" s="5"/>
      <c r="H3" s="6"/>
      <c r="I3" s="7"/>
      <c r="J3" s="7"/>
      <c r="K3" s="7"/>
    </row>
    <row x14ac:dyDescent="0.25" r="4" customHeight="1" ht="16.5">
      <c r="A4" s="9" t="s">
        <v>3</v>
      </c>
      <c r="B4" s="53" t="s">
        <v>31</v>
      </c>
      <c r="C4" s="82"/>
      <c r="D4" s="4"/>
      <c r="E4" s="4"/>
      <c r="F4" s="52"/>
      <c r="G4" s="5"/>
      <c r="H4" s="6"/>
      <c r="I4" s="7"/>
      <c r="J4" s="7"/>
      <c r="K4" s="7"/>
    </row>
    <row x14ac:dyDescent="0.25" r="5" customHeight="1" ht="16.5">
      <c r="A5" s="50"/>
      <c r="B5" s="55"/>
      <c r="C5" s="80"/>
      <c r="D5" s="4"/>
      <c r="E5" s="4"/>
      <c r="F5" s="52"/>
      <c r="G5" s="5"/>
      <c r="H5" s="6"/>
      <c r="I5" s="7"/>
      <c r="J5" s="7"/>
      <c r="K5" s="7"/>
    </row>
    <row x14ac:dyDescent="0.25" r="6" customHeight="1" ht="16.5">
      <c r="A6" s="11" t="s">
        <v>2</v>
      </c>
      <c r="B6" s="56" t="s">
        <v>3</v>
      </c>
      <c r="C6" s="80"/>
      <c r="D6" s="4"/>
      <c r="E6" s="4"/>
      <c r="F6" s="52"/>
      <c r="G6" s="5"/>
      <c r="H6" s="6"/>
      <c r="I6" s="7"/>
      <c r="J6" s="7"/>
      <c r="K6" s="7"/>
    </row>
    <row x14ac:dyDescent="0.25" r="7" customHeight="1" ht="16.5">
      <c r="A7" s="12">
        <v>-5</v>
      </c>
      <c r="B7" s="57">
        <f>POWER(A7,3)-9*A7+3</f>
      </c>
      <c r="C7" s="80"/>
      <c r="D7" s="4"/>
      <c r="E7" s="4"/>
      <c r="F7" s="52"/>
      <c r="G7" s="5"/>
      <c r="H7" s="6"/>
      <c r="I7" s="7"/>
      <c r="J7" s="7"/>
      <c r="K7" s="7"/>
    </row>
    <row x14ac:dyDescent="0.25" r="8" customHeight="1" ht="16.5">
      <c r="A8" s="12">
        <v>-4</v>
      </c>
      <c r="B8" s="57">
        <f>POWER(A8,3)-9*A8+3</f>
      </c>
      <c r="C8" s="80"/>
      <c r="D8" s="4"/>
      <c r="E8" s="4"/>
      <c r="F8" s="52"/>
      <c r="G8" s="5"/>
      <c r="H8" s="6"/>
      <c r="I8" s="7"/>
      <c r="J8" s="7"/>
      <c r="K8" s="7"/>
    </row>
    <row x14ac:dyDescent="0.25" r="9" customHeight="1" ht="16.5">
      <c r="A9" s="12">
        <v>-3</v>
      </c>
      <c r="B9" s="57">
        <f>POWER(A9,3)-9*A9+3</f>
      </c>
      <c r="C9" s="80"/>
      <c r="D9" s="4"/>
      <c r="E9" s="4"/>
      <c r="F9" s="52"/>
      <c r="G9" s="5"/>
      <c r="H9" s="6"/>
      <c r="I9" s="7"/>
      <c r="J9" s="7"/>
      <c r="K9" s="7"/>
    </row>
    <row x14ac:dyDescent="0.25" r="10" customHeight="1" ht="16.5">
      <c r="A10" s="12">
        <v>-2</v>
      </c>
      <c r="B10" s="57">
        <f>POWER(A10,3)-9*A10+3</f>
      </c>
      <c r="C10" s="80"/>
      <c r="D10" s="4"/>
      <c r="E10" s="4"/>
      <c r="F10" s="52"/>
      <c r="G10" s="5"/>
      <c r="H10" s="6"/>
      <c r="I10" s="7"/>
      <c r="J10" s="7"/>
      <c r="K10" s="7"/>
    </row>
    <row x14ac:dyDescent="0.25" r="11" customHeight="1" ht="16.5">
      <c r="A11" s="12">
        <v>-1</v>
      </c>
      <c r="B11" s="57">
        <f>POWER(A11,3)-9*A11+3</f>
      </c>
      <c r="C11" s="80"/>
      <c r="D11" s="4"/>
      <c r="E11" s="4"/>
      <c r="F11" s="52"/>
      <c r="G11" s="5"/>
      <c r="H11" s="6"/>
      <c r="I11" s="7"/>
      <c r="J11" s="7"/>
      <c r="K11" s="7"/>
    </row>
    <row x14ac:dyDescent="0.25" r="12" customHeight="1" ht="16.5">
      <c r="A12" s="83">
        <v>0</v>
      </c>
      <c r="B12" s="84">
        <f>POWER(A12,3)-9*A12+3</f>
      </c>
      <c r="C12" s="80"/>
      <c r="D12" s="4"/>
      <c r="E12" s="4"/>
      <c r="F12" s="52"/>
      <c r="G12" s="5"/>
      <c r="H12" s="6"/>
      <c r="I12" s="7"/>
      <c r="J12" s="7"/>
      <c r="K12" s="7"/>
    </row>
    <row x14ac:dyDescent="0.25" r="13" customHeight="1" ht="16.5">
      <c r="A13" s="83">
        <v>1</v>
      </c>
      <c r="B13" s="84">
        <f>POWER(A13,3)-9*A13+3</f>
      </c>
      <c r="C13" s="80"/>
      <c r="D13" s="4"/>
      <c r="E13" s="4"/>
      <c r="F13" s="52"/>
      <c r="G13" s="5"/>
      <c r="H13" s="6"/>
      <c r="I13" s="7"/>
      <c r="J13" s="7"/>
      <c r="K13" s="7"/>
    </row>
    <row x14ac:dyDescent="0.25" r="14" customHeight="1" ht="16.5">
      <c r="A14" s="12">
        <v>2</v>
      </c>
      <c r="B14" s="57">
        <f>POWER(A14,3)-9*A14+3</f>
      </c>
      <c r="C14" s="80"/>
      <c r="D14" s="4"/>
      <c r="E14" s="4"/>
      <c r="F14" s="52"/>
      <c r="G14" s="5"/>
      <c r="H14" s="6"/>
      <c r="I14" s="7"/>
      <c r="J14" s="7"/>
      <c r="K14" s="7"/>
    </row>
    <row x14ac:dyDescent="0.25" r="15" customHeight="1" ht="16.5">
      <c r="A15" s="12">
        <v>3</v>
      </c>
      <c r="B15" s="57">
        <f>POWER(A15,3)-9*A15+3</f>
      </c>
      <c r="C15" s="80"/>
      <c r="D15" s="4"/>
      <c r="E15" s="4"/>
      <c r="F15" s="52"/>
      <c r="G15" s="5"/>
      <c r="H15" s="6"/>
      <c r="I15" s="7"/>
      <c r="J15" s="7"/>
      <c r="K15" s="7"/>
    </row>
    <row x14ac:dyDescent="0.25" r="16" customHeight="1" ht="16.5">
      <c r="A16" s="12">
        <v>4</v>
      </c>
      <c r="B16" s="57">
        <f>POWER(A16,3)-9*A16+3</f>
      </c>
      <c r="C16" s="80"/>
      <c r="D16" s="4"/>
      <c r="E16" s="4"/>
      <c r="F16" s="52"/>
      <c r="G16" s="5"/>
      <c r="H16" s="6"/>
      <c r="I16" s="7"/>
      <c r="J16" s="7"/>
      <c r="K16" s="7"/>
    </row>
    <row x14ac:dyDescent="0.25" r="17" customHeight="1" ht="16.5">
      <c r="A17" s="12">
        <v>5</v>
      </c>
      <c r="B17" s="57">
        <f>POWER(A17,3)-9*A17+3</f>
      </c>
      <c r="C17" s="80"/>
      <c r="D17" s="60"/>
      <c r="E17" s="60"/>
      <c r="F17" s="51"/>
      <c r="G17" s="85"/>
      <c r="H17" s="86"/>
      <c r="I17" s="61"/>
      <c r="J17" s="61"/>
      <c r="K17" s="61"/>
    </row>
    <row x14ac:dyDescent="0.25" r="18" customHeight="1" ht="16.5">
      <c r="A18" s="1"/>
      <c r="B18" s="52"/>
      <c r="C18" s="81"/>
      <c r="D18" s="4"/>
      <c r="E18" s="4"/>
      <c r="F18" s="52"/>
      <c r="G18" s="5"/>
      <c r="H18" s="6"/>
      <c r="I18" s="7"/>
      <c r="J18" s="7"/>
      <c r="K18" s="7"/>
    </row>
    <row x14ac:dyDescent="0.25" r="19" customHeight="1" ht="16.5">
      <c r="A19" s="1"/>
      <c r="B19" s="52"/>
      <c r="C19" s="81"/>
      <c r="D19" s="4"/>
      <c r="E19" s="4"/>
      <c r="F19" s="52"/>
      <c r="G19" s="5"/>
      <c r="H19" s="6"/>
      <c r="I19" s="7"/>
      <c r="J19" s="7"/>
      <c r="K19" s="7"/>
    </row>
    <row x14ac:dyDescent="0.25" r="20" customHeight="1" ht="16.5">
      <c r="A20" s="87" t="s">
        <v>4</v>
      </c>
      <c r="B20" s="88">
        <v>0.0001</v>
      </c>
      <c r="C20" s="80"/>
      <c r="D20" s="60"/>
      <c r="E20" s="60"/>
      <c r="F20" s="51"/>
      <c r="G20" s="85"/>
      <c r="H20" s="86"/>
      <c r="I20" s="61"/>
      <c r="J20" s="61"/>
      <c r="K20" s="61"/>
    </row>
    <row x14ac:dyDescent="0.25" r="21" customHeight="1" ht="16.5">
      <c r="A21" s="87" t="s">
        <v>32</v>
      </c>
      <c r="B21" s="89">
        <v>0</v>
      </c>
      <c r="C21" s="80"/>
      <c r="D21" s="60"/>
      <c r="E21" s="60"/>
      <c r="F21" s="51"/>
      <c r="G21" s="85"/>
      <c r="H21" s="86"/>
      <c r="I21" s="61"/>
      <c r="J21" s="61"/>
      <c r="K21" s="61"/>
    </row>
    <row x14ac:dyDescent="0.25" r="22" customHeight="1" ht="16.5">
      <c r="A22" s="87" t="s">
        <v>33</v>
      </c>
      <c r="B22" s="89">
        <v>1</v>
      </c>
      <c r="C22" s="80"/>
      <c r="D22" s="60"/>
      <c r="E22" s="60"/>
      <c r="F22" s="51"/>
      <c r="G22" s="85"/>
      <c r="H22" s="86"/>
      <c r="I22" s="61"/>
      <c r="J22" s="61"/>
      <c r="K22" s="61"/>
    </row>
    <row x14ac:dyDescent="0.25" r="23" customHeight="1" ht="16.5">
      <c r="A23" s="1"/>
      <c r="B23" s="52"/>
      <c r="C23" s="81"/>
      <c r="D23" s="4"/>
      <c r="E23" s="4"/>
      <c r="F23" s="52"/>
      <c r="G23" s="5"/>
      <c r="H23" s="6"/>
      <c r="I23" s="7"/>
      <c r="J23" s="7"/>
      <c r="K23" s="7"/>
    </row>
    <row x14ac:dyDescent="0.25" r="24" customHeight="1" ht="16.5">
      <c r="A24" s="50"/>
      <c r="B24" s="51"/>
      <c r="C24" s="80"/>
      <c r="D24" s="60"/>
      <c r="E24" s="60"/>
      <c r="F24" s="51"/>
      <c r="G24" s="85"/>
      <c r="H24" s="90" t="s">
        <v>26</v>
      </c>
      <c r="I24" s="61"/>
      <c r="J24" s="61"/>
      <c r="K24" s="61"/>
    </row>
    <row x14ac:dyDescent="0.25" r="25" customHeight="1" ht="16.5">
      <c r="A25" s="11" t="s">
        <v>6</v>
      </c>
      <c r="B25" s="56" t="s">
        <v>34</v>
      </c>
      <c r="C25" s="91" t="s">
        <v>27</v>
      </c>
      <c r="D25" s="73" t="s">
        <v>35</v>
      </c>
      <c r="E25" s="73" t="s">
        <v>36</v>
      </c>
      <c r="F25" s="92" t="s">
        <v>29</v>
      </c>
      <c r="G25" s="93" t="s">
        <v>14</v>
      </c>
      <c r="H25" s="94" t="s">
        <v>15</v>
      </c>
      <c r="I25" s="61"/>
      <c r="J25" s="61"/>
      <c r="K25" s="61"/>
    </row>
    <row x14ac:dyDescent="0.25" r="26" customHeight="1" ht="16.5">
      <c r="A26" s="12">
        <v>1</v>
      </c>
      <c r="B26" s="74">
        <f>B21</f>
      </c>
      <c r="C26" s="74">
        <f>B22</f>
      </c>
      <c r="D26" s="57">
        <f>POWER(B26,3)-9*B26+3</f>
      </c>
      <c r="E26" s="57">
        <f>POWER(C26,3)-9*C26+3</f>
      </c>
      <c r="F26" s="74">
        <f>C26-(E26*(B26-C26))/(D26-E26)</f>
      </c>
      <c r="G26" s="95">
        <f>$B$20</f>
      </c>
      <c r="H26" s="96">
        <f>ABS((F26-C26))</f>
      </c>
      <c r="I26" s="72">
        <f>IF(H26&lt;G26, " FIM!", "")</f>
      </c>
      <c r="J26" s="61"/>
      <c r="K26" s="61"/>
    </row>
    <row x14ac:dyDescent="0.25" r="27" customHeight="1" ht="16.5">
      <c r="A27" s="12">
        <v>2</v>
      </c>
      <c r="B27" s="74">
        <f>C26</f>
      </c>
      <c r="C27" s="74">
        <f>F26</f>
      </c>
      <c r="D27" s="57">
        <f>POWER(B27,3)-9*B27+3</f>
      </c>
      <c r="E27" s="57">
        <f>POWER(C27,3)-9*C27+3</f>
      </c>
      <c r="F27" s="74">
        <f>C27-(E27*(B27-C27))/(D27-E27)</f>
      </c>
      <c r="G27" s="95">
        <f>$B$20</f>
      </c>
      <c r="H27" s="96">
        <f>ABS((F27-C27))</f>
      </c>
      <c r="I27" s="72">
        <f>IF(H27&lt;G27, " FIM!", "")</f>
      </c>
      <c r="J27" s="61"/>
      <c r="K27" s="61"/>
    </row>
    <row x14ac:dyDescent="0.25" r="28" customHeight="1" ht="16.5">
      <c r="A28" s="12">
        <v>3</v>
      </c>
      <c r="B28" s="74">
        <f>C27</f>
      </c>
      <c r="C28" s="74">
        <f>F27</f>
      </c>
      <c r="D28" s="57">
        <f>POWER(B28,3)-9*B28+3</f>
      </c>
      <c r="E28" s="57">
        <f>POWER(C28,3)-9*C28+3</f>
      </c>
      <c r="F28" s="74">
        <f>C28-(E28*(B28-C28))/(D28-E28)</f>
      </c>
      <c r="G28" s="95">
        <f>$B$20</f>
      </c>
      <c r="H28" s="96">
        <f>ABS((F28-C28))</f>
      </c>
      <c r="I28" s="72">
        <f>IF(H28&lt;G28, " FIM!", "")</f>
      </c>
      <c r="J28" s="61"/>
      <c r="K28" s="61"/>
    </row>
    <row x14ac:dyDescent="0.25" r="29" customHeight="1" ht="16.5">
      <c r="A29" s="12">
        <v>4</v>
      </c>
      <c r="B29" s="74">
        <f>C28</f>
      </c>
      <c r="C29" s="74">
        <f>F28</f>
      </c>
      <c r="D29" s="57">
        <f>POWER(B29,3)-9*B29+3</f>
      </c>
      <c r="E29" s="57">
        <f>POWER(C29,3)-9*C29+3</f>
      </c>
      <c r="F29" s="74">
        <f>C29-(E29*(B29-C29))/(D29-E29)</f>
      </c>
      <c r="G29" s="95">
        <f>$B$20</f>
      </c>
      <c r="H29" s="96">
        <f>ABS((F29-C29))</f>
      </c>
      <c r="I29" s="72">
        <f>IF(H29&lt;G29, " FIM!", "")</f>
      </c>
      <c r="J29" s="61"/>
      <c r="K29" s="61"/>
    </row>
    <row x14ac:dyDescent="0.25" r="30" customHeight="1" ht="16.5">
      <c r="A30" s="50"/>
      <c r="B30" s="51"/>
      <c r="C30" s="80"/>
      <c r="D30" s="60"/>
      <c r="E30" s="60"/>
      <c r="F30" s="51"/>
      <c r="G30" s="85"/>
      <c r="H30" s="86"/>
      <c r="I30" s="61"/>
      <c r="J30" s="61"/>
      <c r="K30" s="61"/>
    </row>
    <row x14ac:dyDescent="0.25" r="31" customHeight="1" ht="16.5">
      <c r="A31" s="50"/>
      <c r="B31" s="55" t="s">
        <v>16</v>
      </c>
      <c r="C31" s="97">
        <f>F29</f>
      </c>
      <c r="D31" s="98"/>
      <c r="E31" s="60"/>
      <c r="F31" s="51"/>
      <c r="G31" s="85"/>
      <c r="H31" s="86"/>
      <c r="I31" s="61"/>
      <c r="J31" s="61"/>
      <c r="K31" s="61"/>
    </row>
    <row x14ac:dyDescent="0.25" r="32" customHeight="1" ht="16.5">
      <c r="A32" s="50"/>
      <c r="B32" s="51"/>
      <c r="C32" s="80"/>
      <c r="D32" s="60"/>
      <c r="E32" s="60"/>
      <c r="F32" s="51"/>
      <c r="G32" s="85"/>
      <c r="H32" s="86"/>
      <c r="I32" s="61"/>
      <c r="J32" s="61"/>
      <c r="K32" s="61"/>
    </row>
    <row x14ac:dyDescent="0.25" r="33" customHeight="1" ht="16.5">
      <c r="A33" s="50"/>
      <c r="B33" s="51"/>
      <c r="C33" s="80"/>
      <c r="D33" s="60"/>
      <c r="E33" s="60"/>
      <c r="F33" s="51"/>
      <c r="G33" s="85"/>
      <c r="H33" s="86"/>
      <c r="I33" s="61"/>
      <c r="J33" s="61"/>
      <c r="K33" s="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7"/>
  <sheetViews>
    <sheetView workbookViewId="0"/>
  </sheetViews>
  <sheetFormatPr defaultRowHeight="15" x14ac:dyDescent="0.25"/>
  <cols>
    <col min="1" max="1" style="43" width="9.290714285714287" customWidth="1" bestFit="1"/>
    <col min="2" max="2" style="78" width="12.147857142857141" customWidth="1" bestFit="1"/>
    <col min="3" max="3" style="79" width="14.719285714285713" customWidth="1" bestFit="1"/>
    <col min="4" max="4" style="78" width="16.433571428571426" customWidth="1" bestFit="1"/>
    <col min="5" max="5" style="78" width="10.862142857142858" customWidth="1" bestFit="1"/>
    <col min="6" max="6" style="46" width="11.005" customWidth="1" bestFit="1"/>
    <col min="7" max="7" style="78" width="10.862142857142858" customWidth="1" bestFit="1"/>
    <col min="8" max="8" style="49" width="12.290714285714287" customWidth="1" bestFit="1"/>
    <col min="9" max="9" style="49" width="12.290714285714287" customWidth="1" bestFit="1"/>
    <col min="10" max="10" style="49" width="7.862142857142857" customWidth="1" bestFit="1"/>
    <col min="11" max="11" style="49" width="12.005" customWidth="1" bestFit="1"/>
    <col min="12" max="12" style="49" width="7.147857142857143" customWidth="1" bestFit="1"/>
  </cols>
  <sheetData>
    <row x14ac:dyDescent="0.25" r="1" customHeight="1" ht="16.5">
      <c r="A1" s="50"/>
      <c r="B1" s="51"/>
      <c r="C1" s="51"/>
      <c r="D1" s="52"/>
      <c r="E1" s="52"/>
      <c r="F1" s="4"/>
      <c r="G1" s="52"/>
      <c r="H1" s="7"/>
      <c r="I1" s="7"/>
      <c r="J1" s="7"/>
      <c r="K1" s="7"/>
      <c r="L1" s="7"/>
    </row>
    <row x14ac:dyDescent="0.25" r="2" customHeight="1" ht="16.5">
      <c r="A2" s="8" t="s">
        <v>17</v>
      </c>
      <c r="B2" s="51"/>
      <c r="C2" s="51"/>
      <c r="D2" s="52"/>
      <c r="E2" s="52"/>
      <c r="F2" s="4"/>
      <c r="G2" s="52"/>
      <c r="H2" s="7"/>
      <c r="I2" s="7"/>
      <c r="J2" s="7"/>
      <c r="K2" s="7"/>
      <c r="L2" s="7"/>
    </row>
    <row x14ac:dyDescent="0.25" r="3" customHeight="1" ht="16.5">
      <c r="A3" s="8"/>
      <c r="B3" s="51"/>
      <c r="C3" s="51"/>
      <c r="D3" s="52"/>
      <c r="E3" s="52"/>
      <c r="F3" s="4"/>
      <c r="G3" s="52"/>
      <c r="H3" s="7"/>
      <c r="I3" s="7"/>
      <c r="J3" s="7"/>
      <c r="K3" s="7"/>
      <c r="L3" s="7"/>
    </row>
    <row x14ac:dyDescent="0.25" r="4" customHeight="1" ht="16.5">
      <c r="A4" s="9" t="s">
        <v>3</v>
      </c>
      <c r="B4" s="53" t="s">
        <v>18</v>
      </c>
      <c r="C4" s="54"/>
      <c r="D4" s="52"/>
      <c r="E4" s="52"/>
      <c r="F4" s="4"/>
      <c r="G4" s="52"/>
      <c r="H4" s="7"/>
      <c r="I4" s="7"/>
      <c r="J4" s="7"/>
      <c r="K4" s="7"/>
      <c r="L4" s="7"/>
    </row>
    <row x14ac:dyDescent="0.25" r="5" customHeight="1" ht="16.5">
      <c r="A5" s="50"/>
      <c r="B5" s="55"/>
      <c r="C5" s="51"/>
      <c r="D5" s="52"/>
      <c r="E5" s="52"/>
      <c r="F5" s="4"/>
      <c r="G5" s="52"/>
      <c r="H5" s="7"/>
      <c r="I5" s="7"/>
      <c r="J5" s="7"/>
      <c r="K5" s="7"/>
      <c r="L5" s="7"/>
    </row>
    <row x14ac:dyDescent="0.25" r="6" customHeight="1" ht="16.5">
      <c r="A6" s="11" t="s">
        <v>2</v>
      </c>
      <c r="B6" s="56" t="s">
        <v>3</v>
      </c>
      <c r="C6" s="51"/>
      <c r="D6" s="52"/>
      <c r="E6" s="52"/>
      <c r="F6" s="4"/>
      <c r="G6" s="52"/>
      <c r="H6" s="7"/>
      <c r="I6" s="7"/>
      <c r="J6" s="7"/>
      <c r="K6" s="7"/>
      <c r="L6" s="7"/>
    </row>
    <row x14ac:dyDescent="0.25" r="7" customHeight="1" ht="16.5">
      <c r="A7" s="12">
        <v>-5</v>
      </c>
      <c r="B7" s="57">
        <f>POWER(A7,3)-9*A7+3</f>
      </c>
      <c r="C7" s="51"/>
      <c r="D7" s="52"/>
      <c r="E7" s="52"/>
      <c r="F7" s="4"/>
      <c r="G7" s="52"/>
      <c r="H7" s="7"/>
      <c r="I7" s="7"/>
      <c r="J7" s="7"/>
      <c r="K7" s="7"/>
      <c r="L7" s="7"/>
    </row>
    <row x14ac:dyDescent="0.25" r="8" customHeight="1" ht="16.5">
      <c r="A8" s="12">
        <v>-4</v>
      </c>
      <c r="B8" s="57">
        <f>POWER(A8,3)-9*A8+3</f>
      </c>
      <c r="C8" s="51"/>
      <c r="D8" s="52"/>
      <c r="E8" s="52"/>
      <c r="F8" s="4"/>
      <c r="G8" s="52"/>
      <c r="H8" s="7"/>
      <c r="I8" s="7"/>
      <c r="J8" s="7"/>
      <c r="K8" s="7"/>
      <c r="L8" s="7"/>
    </row>
    <row x14ac:dyDescent="0.25" r="9" customHeight="1" ht="16.5">
      <c r="A9" s="12">
        <v>-3</v>
      </c>
      <c r="B9" s="57">
        <f>POWER(A9,3)-9*A9+3</f>
      </c>
      <c r="C9" s="51"/>
      <c r="D9" s="52"/>
      <c r="E9" s="52"/>
      <c r="F9" s="4"/>
      <c r="G9" s="52"/>
      <c r="H9" s="7"/>
      <c r="I9" s="7"/>
      <c r="J9" s="7"/>
      <c r="K9" s="7"/>
      <c r="L9" s="7"/>
    </row>
    <row x14ac:dyDescent="0.25" r="10" customHeight="1" ht="16.5">
      <c r="A10" s="12">
        <v>-2</v>
      </c>
      <c r="B10" s="57">
        <f>POWER(A10,3)-9*A10+3</f>
      </c>
      <c r="C10" s="51"/>
      <c r="D10" s="52"/>
      <c r="E10" s="52"/>
      <c r="F10" s="4"/>
      <c r="G10" s="52"/>
      <c r="H10" s="7"/>
      <c r="I10" s="7"/>
      <c r="J10" s="7"/>
      <c r="K10" s="7"/>
      <c r="L10" s="7"/>
    </row>
    <row x14ac:dyDescent="0.25" r="11" customHeight="1" ht="16.5">
      <c r="A11" s="12">
        <v>-1</v>
      </c>
      <c r="B11" s="57">
        <f>POWER(A11,3)-9*A11+3</f>
      </c>
      <c r="C11" s="51"/>
      <c r="D11" s="52"/>
      <c r="E11" s="52"/>
      <c r="F11" s="4"/>
      <c r="G11" s="52"/>
      <c r="H11" s="7"/>
      <c r="I11" s="7"/>
      <c r="J11" s="7"/>
      <c r="K11" s="7"/>
      <c r="L11" s="7"/>
    </row>
    <row x14ac:dyDescent="0.25" r="12" customHeight="1" ht="16.5">
      <c r="A12" s="58">
        <v>0</v>
      </c>
      <c r="B12" s="59">
        <f>POWER(A12,3)-9*A12+3</f>
      </c>
      <c r="C12" s="51"/>
      <c r="D12" s="52"/>
      <c r="E12" s="52"/>
      <c r="F12" s="4"/>
      <c r="G12" s="52"/>
      <c r="H12" s="7"/>
      <c r="I12" s="7"/>
      <c r="J12" s="7"/>
      <c r="K12" s="7"/>
      <c r="L12" s="7"/>
    </row>
    <row x14ac:dyDescent="0.25" r="13" customHeight="1" ht="16.5">
      <c r="A13" s="58">
        <v>1</v>
      </c>
      <c r="B13" s="59">
        <f>POWER(A13,3)-9*A13+3</f>
      </c>
      <c r="C13" s="51"/>
      <c r="D13" s="52"/>
      <c r="E13" s="52"/>
      <c r="F13" s="4"/>
      <c r="G13" s="52"/>
      <c r="H13" s="7"/>
      <c r="I13" s="7"/>
      <c r="J13" s="7"/>
      <c r="K13" s="7"/>
      <c r="L13" s="7"/>
    </row>
    <row x14ac:dyDescent="0.25" r="14" customHeight="1" ht="16.5">
      <c r="A14" s="12">
        <v>2</v>
      </c>
      <c r="B14" s="57">
        <f>POWER(A14,3)-9*A14+3</f>
      </c>
      <c r="C14" s="51"/>
      <c r="D14" s="52"/>
      <c r="E14" s="52"/>
      <c r="F14" s="4"/>
      <c r="G14" s="52"/>
      <c r="H14" s="7"/>
      <c r="I14" s="7"/>
      <c r="J14" s="7"/>
      <c r="K14" s="7"/>
      <c r="L14" s="7"/>
    </row>
    <row x14ac:dyDescent="0.25" r="15" customHeight="1" ht="16.5">
      <c r="A15" s="12">
        <v>3</v>
      </c>
      <c r="B15" s="57">
        <f>POWER(A15,3)-9*A15+3</f>
      </c>
      <c r="C15" s="51"/>
      <c r="D15" s="52"/>
      <c r="E15" s="52"/>
      <c r="F15" s="4"/>
      <c r="G15" s="52"/>
      <c r="H15" s="7"/>
      <c r="I15" s="7"/>
      <c r="J15" s="7"/>
      <c r="K15" s="7"/>
      <c r="L15" s="7"/>
    </row>
    <row x14ac:dyDescent="0.25" r="16" customHeight="1" ht="16.5">
      <c r="A16" s="12">
        <v>4</v>
      </c>
      <c r="B16" s="57">
        <f>POWER(A16,3)-9*A16+3</f>
      </c>
      <c r="C16" s="51"/>
      <c r="D16" s="52"/>
      <c r="E16" s="52"/>
      <c r="F16" s="4"/>
      <c r="G16" s="52"/>
      <c r="H16" s="7"/>
      <c r="I16" s="7"/>
      <c r="J16" s="7"/>
      <c r="K16" s="7"/>
      <c r="L16" s="7"/>
    </row>
    <row x14ac:dyDescent="0.25" r="17" customHeight="1" ht="16.5">
      <c r="A17" s="12">
        <v>5</v>
      </c>
      <c r="B17" s="57">
        <f>POWER(A17,3)-9*A17+3</f>
      </c>
      <c r="C17" s="51"/>
      <c r="D17" s="51"/>
      <c r="E17" s="51"/>
      <c r="F17" s="60"/>
      <c r="G17" s="51"/>
      <c r="H17" s="61"/>
      <c r="I17" s="61"/>
      <c r="J17" s="61"/>
      <c r="K17" s="61"/>
      <c r="L17" s="61"/>
    </row>
    <row x14ac:dyDescent="0.25" r="18" customHeight="1" ht="16.5">
      <c r="A18" s="62"/>
      <c r="B18" s="57"/>
      <c r="C18" s="51"/>
      <c r="D18" s="51"/>
      <c r="E18" s="51"/>
      <c r="F18" s="60"/>
      <c r="G18" s="51"/>
      <c r="H18" s="61"/>
      <c r="I18" s="61"/>
      <c r="J18" s="61"/>
      <c r="K18" s="61"/>
      <c r="L18" s="61"/>
    </row>
    <row x14ac:dyDescent="0.25" r="19" customHeight="1" ht="16.5">
      <c r="A19" s="62"/>
      <c r="B19" s="57"/>
      <c r="C19" s="51"/>
      <c r="D19" s="51"/>
      <c r="E19" s="51"/>
      <c r="F19" s="60"/>
      <c r="G19" s="51"/>
      <c r="H19" s="61"/>
      <c r="I19" s="61"/>
      <c r="J19" s="61"/>
      <c r="K19" s="61"/>
      <c r="L19" s="61"/>
    </row>
    <row x14ac:dyDescent="0.25" r="20" customHeight="1" ht="16.5">
      <c r="A20" s="9" t="s">
        <v>4</v>
      </c>
      <c r="B20" s="63">
        <v>0.001</v>
      </c>
      <c r="C20" s="51"/>
      <c r="D20" s="51"/>
      <c r="E20" s="51"/>
      <c r="F20" s="60"/>
      <c r="G20" s="51"/>
      <c r="H20" s="61"/>
      <c r="I20" s="61"/>
      <c r="J20" s="61"/>
      <c r="K20" s="61"/>
      <c r="L20" s="61"/>
    </row>
    <row x14ac:dyDescent="0.25" r="21" customHeight="1" ht="16.5">
      <c r="A21" s="64" t="s">
        <v>19</v>
      </c>
      <c r="B21" s="65" t="s">
        <v>20</v>
      </c>
      <c r="C21" s="66"/>
      <c r="D21" s="51"/>
      <c r="E21" s="51"/>
      <c r="F21" s="60"/>
      <c r="G21" s="51"/>
      <c r="H21" s="61"/>
      <c r="I21" s="61"/>
      <c r="J21" s="61"/>
      <c r="K21" s="61"/>
      <c r="L21" s="61"/>
    </row>
    <row x14ac:dyDescent="0.25" r="22" customHeight="1" ht="16.5">
      <c r="A22" s="64" t="s">
        <v>21</v>
      </c>
      <c r="B22" s="67" t="s">
        <v>22</v>
      </c>
      <c r="C22" s="66"/>
      <c r="D22" s="51"/>
      <c r="E22" s="51"/>
      <c r="F22" s="60"/>
      <c r="G22" s="51"/>
      <c r="H22" s="61"/>
      <c r="I22" s="61"/>
      <c r="J22" s="61"/>
      <c r="K22" s="61"/>
      <c r="L22" s="61"/>
    </row>
    <row x14ac:dyDescent="0.25" r="23" customHeight="1" ht="16.5">
      <c r="A23" s="1"/>
      <c r="B23" s="52"/>
      <c r="C23" s="68"/>
      <c r="D23" s="52"/>
      <c r="E23" s="52"/>
      <c r="F23" s="4"/>
      <c r="G23" s="52"/>
      <c r="H23" s="7"/>
      <c r="I23" s="7"/>
      <c r="J23" s="7"/>
      <c r="K23" s="7"/>
      <c r="L23" s="7"/>
    </row>
    <row x14ac:dyDescent="0.25" r="24" customHeight="1" ht="16.5">
      <c r="A24" s="69" t="s">
        <v>23</v>
      </c>
      <c r="B24" s="51"/>
      <c r="C24" s="51"/>
      <c r="D24" s="51"/>
      <c r="E24" s="51"/>
      <c r="F24" s="60"/>
      <c r="G24" s="51"/>
      <c r="H24" s="61"/>
      <c r="I24" s="61"/>
      <c r="J24" s="61"/>
      <c r="K24" s="61"/>
      <c r="L24" s="61"/>
    </row>
    <row x14ac:dyDescent="0.25" r="25" customHeight="1" ht="16.5">
      <c r="A25" s="69"/>
      <c r="B25" s="51"/>
      <c r="C25" s="51"/>
      <c r="D25" s="51"/>
      <c r="E25" s="51"/>
      <c r="F25" s="60"/>
      <c r="G25" s="51"/>
      <c r="H25" s="61"/>
      <c r="I25" s="61"/>
      <c r="J25" s="61"/>
      <c r="K25" s="61"/>
      <c r="L25" s="61"/>
    </row>
    <row x14ac:dyDescent="0.25" r="26" customHeight="1" ht="16.5">
      <c r="A26" s="11" t="s">
        <v>2</v>
      </c>
      <c r="B26" s="56" t="s">
        <v>3</v>
      </c>
      <c r="C26" s="56" t="s">
        <v>24</v>
      </c>
      <c r="D26" s="56" t="s">
        <v>25</v>
      </c>
      <c r="E26" s="51"/>
      <c r="F26" s="60"/>
      <c r="G26" s="51"/>
      <c r="H26" s="61"/>
      <c r="I26" s="61"/>
      <c r="J26" s="61"/>
      <c r="K26" s="61"/>
      <c r="L26" s="61"/>
    </row>
    <row x14ac:dyDescent="0.25" r="27" customHeight="1" ht="16.5">
      <c r="A27" s="58">
        <v>0</v>
      </c>
      <c r="B27" s="59">
        <f>POWER(A27,3)-9*A27+3</f>
      </c>
      <c r="C27" s="70">
        <f>6*A27</f>
      </c>
      <c r="D27" s="71">
        <f>B27*C27</f>
      </c>
      <c r="E27" s="55">
        <f>IF(D27&gt;0, "&lt;--- Aqui", "")</f>
      </c>
      <c r="F27" s="60"/>
      <c r="G27" s="51"/>
      <c r="H27" s="61"/>
      <c r="I27" s="61"/>
      <c r="J27" s="61"/>
      <c r="K27" s="61"/>
      <c r="L27" s="61"/>
    </row>
    <row x14ac:dyDescent="0.25" r="28" customHeight="1" ht="16.5">
      <c r="A28" s="58">
        <v>1</v>
      </c>
      <c r="B28" s="59">
        <f>POWER(A28,3)-9*A28+3</f>
      </c>
      <c r="C28" s="70">
        <f>6*A28</f>
      </c>
      <c r="D28" s="12">
        <f>B28*C28</f>
      </c>
      <c r="E28" s="55">
        <f>IF(D28&gt;0, "&lt;--- Aqui", "")</f>
      </c>
      <c r="F28" s="60"/>
      <c r="G28" s="51"/>
      <c r="H28" s="61"/>
      <c r="I28" s="61"/>
      <c r="J28" s="61"/>
      <c r="K28" s="61"/>
      <c r="L28" s="72">
        <f>IF(K28&lt;J28, "Fim!!!", " ")</f>
      </c>
    </row>
    <row x14ac:dyDescent="0.25" r="29" customHeight="1" ht="16.5">
      <c r="A29" s="50"/>
      <c r="B29" s="51"/>
      <c r="C29" s="51"/>
      <c r="D29" s="51"/>
      <c r="E29" s="51"/>
      <c r="F29" s="60"/>
      <c r="G29" s="51"/>
      <c r="H29" s="61"/>
      <c r="I29" s="61"/>
      <c r="J29" s="61"/>
      <c r="K29" s="61"/>
      <c r="L29" s="72">
        <f>IF(K29&lt;J29, "Fim!!!", " ")</f>
      </c>
    </row>
    <row x14ac:dyDescent="0.25" r="30" customHeight="1" ht="16.5">
      <c r="A30" s="50"/>
      <c r="B30" s="51"/>
      <c r="C30" s="51"/>
      <c r="D30" s="51"/>
      <c r="E30" s="51"/>
      <c r="F30" s="60"/>
      <c r="G30" s="51"/>
      <c r="H30" s="61"/>
      <c r="I30" s="61"/>
      <c r="J30" s="61"/>
      <c r="K30" s="61"/>
      <c r="L30" s="72">
        <f>IF(K30&lt;J30, "Fim!!!", " ")</f>
      </c>
    </row>
    <row x14ac:dyDescent="0.25" r="31" customHeight="1" ht="16.5">
      <c r="A31" s="50"/>
      <c r="B31" s="51"/>
      <c r="C31" s="51"/>
      <c r="D31" s="51"/>
      <c r="E31" s="51"/>
      <c r="F31" s="60"/>
      <c r="G31" s="51" t="s">
        <v>26</v>
      </c>
      <c r="H31" s="61"/>
      <c r="I31" s="61"/>
      <c r="J31" s="61"/>
      <c r="K31" s="61"/>
      <c r="L31" s="72">
        <f>IF(K31&lt;J31, "Fim!!!", " ")</f>
      </c>
    </row>
    <row x14ac:dyDescent="0.25" r="32" customHeight="1" ht="16.5">
      <c r="A32" s="11" t="s">
        <v>6</v>
      </c>
      <c r="B32" s="56" t="s">
        <v>27</v>
      </c>
      <c r="C32" s="56" t="s">
        <v>3</v>
      </c>
      <c r="D32" s="56" t="s">
        <v>28</v>
      </c>
      <c r="E32" s="56" t="s">
        <v>29</v>
      </c>
      <c r="F32" s="73" t="s">
        <v>14</v>
      </c>
      <c r="G32" s="56" t="s">
        <v>15</v>
      </c>
      <c r="H32" s="61"/>
      <c r="I32" s="61"/>
      <c r="J32" s="61"/>
      <c r="K32" s="61"/>
      <c r="L32" s="72">
        <f>IF(K32&lt;J32, "Fim!!!", " ")</f>
      </c>
    </row>
    <row x14ac:dyDescent="0.25" r="33" customHeight="1" ht="16.5">
      <c r="A33" s="12">
        <v>1</v>
      </c>
      <c r="B33" s="74">
        <v>0</v>
      </c>
      <c r="C33" s="74">
        <f>POWER(B33,3)-9*B33+3</f>
      </c>
      <c r="D33" s="74">
        <f>3*POWER(B33,2)-9</f>
      </c>
      <c r="E33" s="74">
        <f>B33-(C33/D33)</f>
      </c>
      <c r="F33" s="57">
        <f>$B$20</f>
      </c>
      <c r="G33" s="75">
        <f>ABS((E33-B33))</f>
      </c>
      <c r="H33" s="72">
        <f>IF(G33&lt;F33, " FIM!", "")</f>
      </c>
      <c r="I33" s="61"/>
      <c r="J33" s="61"/>
      <c r="K33" s="61"/>
      <c r="L33" s="72">
        <f>IF(K33&lt;J33, "Fim!!!", " ")</f>
      </c>
    </row>
    <row x14ac:dyDescent="0.25" r="34" customHeight="1" ht="16.5">
      <c r="A34" s="12">
        <v>2</v>
      </c>
      <c r="B34" s="74">
        <f>E33</f>
      </c>
      <c r="C34" s="74">
        <f>POWER(B34,3)-9*B34+3</f>
      </c>
      <c r="D34" s="74">
        <f>3*POWER(B34,2)-9</f>
      </c>
      <c r="E34" s="74">
        <f>B34-(C34/D34)</f>
      </c>
      <c r="F34" s="57">
        <f>$B$20</f>
      </c>
      <c r="G34" s="75">
        <f>ABS((E34-B34))</f>
      </c>
      <c r="H34" s="72">
        <f>IF(G34&lt;F34, " FIM!", "")</f>
      </c>
      <c r="I34" s="61"/>
      <c r="J34" s="61"/>
      <c r="K34" s="61"/>
      <c r="L34" s="72">
        <f>IF(K34&lt;J34, "Fim!!!", " ")</f>
      </c>
    </row>
    <row x14ac:dyDescent="0.25" r="35" customHeight="1" ht="16.5">
      <c r="A35" s="12">
        <v>3</v>
      </c>
      <c r="B35" s="74">
        <f>E34</f>
      </c>
      <c r="C35" s="74">
        <f>POWER(B35,3)-9*B35+3</f>
      </c>
      <c r="D35" s="74">
        <f>3*POWER(B35,2)-9</f>
      </c>
      <c r="E35" s="74">
        <f>B35-(C35/D35)</f>
      </c>
      <c r="F35" s="57">
        <f>$B$20</f>
      </c>
      <c r="G35" s="75">
        <f>ABS((E35-B35))</f>
      </c>
      <c r="H35" s="72">
        <f>IF(G35&lt;F35, " FIM!", "")</f>
      </c>
      <c r="I35" s="61"/>
      <c r="J35" s="61"/>
      <c r="K35" s="61"/>
      <c r="L35" s="61"/>
    </row>
    <row x14ac:dyDescent="0.25" r="36" customHeight="1" ht="16.5">
      <c r="A36" s="50"/>
      <c r="B36" s="51"/>
      <c r="C36" s="51"/>
      <c r="D36" s="51"/>
      <c r="E36" s="51"/>
      <c r="F36" s="60"/>
      <c r="G36" s="51"/>
      <c r="H36" s="61"/>
      <c r="I36" s="61"/>
      <c r="J36" s="61"/>
      <c r="K36" s="61"/>
      <c r="L36" s="61"/>
    </row>
    <row x14ac:dyDescent="0.25" r="37" customHeight="1" ht="16.5">
      <c r="A37" s="50"/>
      <c r="B37" s="55" t="s">
        <v>16</v>
      </c>
      <c r="C37" s="76">
        <f>E35</f>
      </c>
      <c r="D37" s="77"/>
      <c r="E37" s="51"/>
      <c r="F37" s="60"/>
      <c r="G37" s="51"/>
      <c r="H37" s="61"/>
      <c r="I37" s="61"/>
      <c r="J37" s="61"/>
      <c r="K37" s="61"/>
      <c r="L37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0"/>
  <sheetViews>
    <sheetView workbookViewId="0"/>
  </sheetViews>
  <sheetFormatPr defaultRowHeight="15" x14ac:dyDescent="0.25"/>
  <cols>
    <col min="1" max="1" style="43" width="5.2907142857142855" customWidth="1" bestFit="1"/>
    <col min="2" max="2" style="43" width="9.43357142857143" customWidth="1" bestFit="1"/>
    <col min="3" max="3" style="44" width="13.147857142857141" customWidth="1" bestFit="1"/>
    <col min="4" max="4" style="45" width="17.290714285714284" customWidth="1" bestFit="1"/>
    <col min="5" max="5" style="46" width="10.862142857142858" customWidth="1" bestFit="1"/>
    <col min="6" max="6" style="43" width="7.147857142857143" customWidth="1" bestFit="1"/>
    <col min="7" max="7" style="46" width="9.290714285714287" customWidth="1" bestFit="1"/>
    <col min="8" max="8" style="46" width="12.290714285714287" customWidth="1" bestFit="1"/>
    <col min="9" max="9" style="46" width="10.862142857142858" customWidth="1" bestFit="1"/>
    <col min="10" max="10" style="47" width="8.147857142857141" customWidth="1" bestFit="1"/>
    <col min="11" max="11" style="48" width="9.576428571428572" customWidth="1" bestFit="1"/>
    <col min="12" max="12" style="49" width="4.862142857142857" customWidth="1" bestFit="1"/>
  </cols>
  <sheetData>
    <row x14ac:dyDescent="0.25" r="1" customHeight="1" ht="16.5">
      <c r="A1" s="1"/>
      <c r="B1" s="1"/>
      <c r="C1" s="2"/>
      <c r="D1" s="3"/>
      <c r="E1" s="4"/>
      <c r="F1" s="1"/>
      <c r="G1" s="4"/>
      <c r="H1" s="4"/>
      <c r="I1" s="4"/>
      <c r="J1" s="5"/>
      <c r="K1" s="6"/>
      <c r="L1" s="7"/>
    </row>
    <row x14ac:dyDescent="0.25" r="2" customHeight="1" ht="16.5">
      <c r="A2" s="8" t="s">
        <v>0</v>
      </c>
      <c r="B2" s="1"/>
      <c r="C2" s="2"/>
      <c r="D2" s="3"/>
      <c r="E2" s="4"/>
      <c r="F2" s="1"/>
      <c r="G2" s="4"/>
      <c r="H2" s="4"/>
      <c r="I2" s="4"/>
      <c r="J2" s="5"/>
      <c r="K2" s="6"/>
      <c r="L2" s="7"/>
    </row>
    <row x14ac:dyDescent="0.25" r="3" customHeight="1" ht="16.5">
      <c r="A3" s="1"/>
      <c r="B3" s="1"/>
      <c r="C3" s="2"/>
      <c r="D3" s="3"/>
      <c r="E3" s="4"/>
      <c r="F3" s="1"/>
      <c r="G3" s="4"/>
      <c r="H3" s="4"/>
      <c r="I3" s="4"/>
      <c r="J3" s="5"/>
      <c r="K3" s="6"/>
      <c r="L3" s="7"/>
    </row>
    <row x14ac:dyDescent="0.25" r="4" customHeight="1" ht="16.5">
      <c r="A4" s="1"/>
      <c r="B4" s="9" t="s">
        <v>1</v>
      </c>
      <c r="C4" s="10"/>
      <c r="D4" s="3"/>
      <c r="E4" s="4"/>
      <c r="F4" s="1"/>
      <c r="G4" s="4"/>
      <c r="H4" s="4"/>
      <c r="I4" s="4"/>
      <c r="J4" s="5"/>
      <c r="K4" s="6"/>
      <c r="L4" s="7"/>
    </row>
    <row x14ac:dyDescent="0.25" r="5" customHeight="1" ht="16.5">
      <c r="A5" s="11" t="s">
        <v>2</v>
      </c>
      <c r="B5" s="11" t="s">
        <v>3</v>
      </c>
      <c r="C5" s="2"/>
      <c r="D5" s="3"/>
      <c r="E5" s="4"/>
      <c r="F5" s="1"/>
      <c r="G5" s="4"/>
      <c r="H5" s="4"/>
      <c r="I5" s="4"/>
      <c r="J5" s="5"/>
      <c r="K5" s="6"/>
      <c r="L5" s="7"/>
    </row>
    <row x14ac:dyDescent="0.25" r="6" customHeight="1" ht="16.5">
      <c r="A6" s="12">
        <v>-5</v>
      </c>
      <c r="B6" s="12">
        <f>POWER(A6,3)-9*A6 +3</f>
      </c>
      <c r="C6" s="2"/>
      <c r="D6" s="3"/>
      <c r="E6" s="4"/>
      <c r="F6" s="1"/>
      <c r="G6" s="4"/>
      <c r="H6" s="4"/>
      <c r="I6" s="4"/>
      <c r="J6" s="5"/>
      <c r="K6" s="6"/>
      <c r="L6" s="7"/>
    </row>
    <row x14ac:dyDescent="0.25" r="7" customHeight="1" ht="16.5">
      <c r="A7" s="13">
        <v>-4</v>
      </c>
      <c r="B7" s="13">
        <f>POWER(A7,3)-9*A7 +3</f>
      </c>
      <c r="C7" s="2"/>
      <c r="D7" s="3"/>
      <c r="E7" s="4"/>
      <c r="F7" s="1"/>
      <c r="G7" s="4"/>
      <c r="H7" s="4"/>
      <c r="I7" s="4"/>
      <c r="J7" s="5"/>
      <c r="K7" s="6"/>
      <c r="L7" s="7"/>
    </row>
    <row x14ac:dyDescent="0.25" r="8" customHeight="1" ht="16.5">
      <c r="A8" s="13">
        <v>-3</v>
      </c>
      <c r="B8" s="13">
        <f>POWER(A8,3)-9*A8 +3</f>
      </c>
      <c r="C8" s="2"/>
      <c r="D8" s="3"/>
      <c r="E8" s="4"/>
      <c r="F8" s="1"/>
      <c r="G8" s="4"/>
      <c r="H8" s="4"/>
      <c r="I8" s="4"/>
      <c r="J8" s="5"/>
      <c r="K8" s="6"/>
      <c r="L8" s="7"/>
    </row>
    <row x14ac:dyDescent="0.25" r="9" customHeight="1" ht="16.5">
      <c r="A9" s="12">
        <v>-2</v>
      </c>
      <c r="B9" s="12">
        <f>POWER(A9,3)-9*A9 +3</f>
      </c>
      <c r="C9" s="2"/>
      <c r="D9" s="3"/>
      <c r="E9" s="4"/>
      <c r="F9" s="1"/>
      <c r="G9" s="4"/>
      <c r="H9" s="4"/>
      <c r="I9" s="4"/>
      <c r="J9" s="5"/>
      <c r="K9" s="6"/>
      <c r="L9" s="7"/>
    </row>
    <row x14ac:dyDescent="0.25" r="10" customHeight="1" ht="16.5">
      <c r="A10" s="12">
        <v>-1</v>
      </c>
      <c r="B10" s="12">
        <f>POWER(A10,3)-9*A10 +3</f>
      </c>
      <c r="C10" s="2"/>
      <c r="D10" s="3"/>
      <c r="E10" s="4"/>
      <c r="F10" s="1"/>
      <c r="G10" s="4"/>
      <c r="H10" s="4"/>
      <c r="I10" s="4"/>
      <c r="J10" s="5"/>
      <c r="K10" s="6"/>
      <c r="L10" s="7"/>
    </row>
    <row x14ac:dyDescent="0.25" r="11" customHeight="1" ht="16.5">
      <c r="A11" s="14">
        <v>0</v>
      </c>
      <c r="B11" s="14">
        <f>POWER(A11,3)-9*A11 +3</f>
      </c>
      <c r="C11" s="2"/>
      <c r="D11" s="3"/>
      <c r="E11" s="4"/>
      <c r="F11" s="1"/>
      <c r="G11" s="4"/>
      <c r="H11" s="4"/>
      <c r="I11" s="4"/>
      <c r="J11" s="5"/>
      <c r="K11" s="6"/>
      <c r="L11" s="7"/>
    </row>
    <row x14ac:dyDescent="0.25" r="12" customHeight="1" ht="16.5">
      <c r="A12" s="14">
        <v>1</v>
      </c>
      <c r="B12" s="14">
        <f>POWER(A12,3)-9*A12 +3</f>
      </c>
      <c r="C12" s="2"/>
      <c r="D12" s="3"/>
      <c r="E12" s="4"/>
      <c r="F12" s="1"/>
      <c r="G12" s="4"/>
      <c r="H12" s="4"/>
      <c r="I12" s="4"/>
      <c r="J12" s="5"/>
      <c r="K12" s="6"/>
      <c r="L12" s="7"/>
    </row>
    <row x14ac:dyDescent="0.25" r="13" customHeight="1" ht="16.5">
      <c r="A13" s="15">
        <v>2</v>
      </c>
      <c r="B13" s="15">
        <f>POWER(A13,3)-9*A13 +3</f>
      </c>
      <c r="C13" s="2"/>
      <c r="D13" s="3"/>
      <c r="E13" s="4"/>
      <c r="F13" s="1"/>
      <c r="G13" s="4"/>
      <c r="H13" s="4"/>
      <c r="I13" s="4"/>
      <c r="J13" s="5"/>
      <c r="K13" s="6"/>
      <c r="L13" s="7"/>
    </row>
    <row x14ac:dyDescent="0.25" r="14" customHeight="1" ht="16.5">
      <c r="A14" s="15">
        <v>3</v>
      </c>
      <c r="B14" s="15">
        <f>POWER(A14,3)-9*A14 +3</f>
      </c>
      <c r="C14" s="2"/>
      <c r="D14" s="3"/>
      <c r="E14" s="4"/>
      <c r="F14" s="1"/>
      <c r="G14" s="4"/>
      <c r="H14" s="4"/>
      <c r="I14" s="4"/>
      <c r="J14" s="5"/>
      <c r="K14" s="6"/>
      <c r="L14" s="7"/>
    </row>
    <row x14ac:dyDescent="0.25" r="15" customHeight="1" ht="16.5">
      <c r="A15" s="12">
        <v>4</v>
      </c>
      <c r="B15" s="12">
        <f>POWER(A15,3)-9*A15 +3</f>
      </c>
      <c r="C15" s="2"/>
      <c r="D15" s="3"/>
      <c r="E15" s="4"/>
      <c r="F15" s="1"/>
      <c r="G15" s="4"/>
      <c r="H15" s="4"/>
      <c r="I15" s="4"/>
      <c r="J15" s="5"/>
      <c r="K15" s="6"/>
      <c r="L15" s="7"/>
    </row>
    <row x14ac:dyDescent="0.25" r="16" customHeight="1" ht="16.5">
      <c r="A16" s="12">
        <v>5</v>
      </c>
      <c r="B16" s="12">
        <f>POWER(A16,3)-9*A16 +3</f>
      </c>
      <c r="C16" s="2"/>
      <c r="D16" s="3"/>
      <c r="E16" s="4"/>
      <c r="F16" s="1"/>
      <c r="G16" s="4"/>
      <c r="H16" s="4"/>
      <c r="I16" s="4"/>
      <c r="J16" s="5"/>
      <c r="K16" s="6"/>
      <c r="L16" s="7"/>
    </row>
    <row x14ac:dyDescent="0.25" r="17" customHeight="1" ht="16.5">
      <c r="A17" s="1"/>
      <c r="B17" s="1"/>
      <c r="C17" s="2"/>
      <c r="D17" s="3"/>
      <c r="E17" s="4"/>
      <c r="F17" s="1"/>
      <c r="G17" s="4"/>
      <c r="H17" s="4"/>
      <c r="I17" s="4"/>
      <c r="J17" s="5"/>
      <c r="K17" s="6"/>
      <c r="L17" s="7"/>
    </row>
    <row x14ac:dyDescent="0.25" r="18" customHeight="1" ht="16.5">
      <c r="A18" s="1"/>
      <c r="B18" s="1"/>
      <c r="C18" s="2"/>
      <c r="D18" s="3"/>
      <c r="E18" s="4"/>
      <c r="F18" s="1"/>
      <c r="G18" s="4"/>
      <c r="H18" s="4"/>
      <c r="I18" s="4"/>
      <c r="J18" s="5"/>
      <c r="K18" s="6"/>
      <c r="L18" s="7"/>
    </row>
    <row x14ac:dyDescent="0.25" r="19" customHeight="1" ht="16.5">
      <c r="A19" s="16" t="s">
        <v>4</v>
      </c>
      <c r="B19" s="17">
        <v>0.001</v>
      </c>
      <c r="C19" s="2"/>
      <c r="D19" s="3"/>
      <c r="E19" s="4"/>
      <c r="F19" s="1"/>
      <c r="G19" s="4"/>
      <c r="H19" s="4"/>
      <c r="I19" s="4"/>
      <c r="J19" s="5"/>
      <c r="K19" s="6"/>
      <c r="L19" s="7"/>
    </row>
    <row x14ac:dyDescent="0.25" r="20" customHeight="1" ht="16.5">
      <c r="A20" s="1"/>
      <c r="B20" s="1"/>
      <c r="C20" s="2"/>
      <c r="D20" s="3"/>
      <c r="E20" s="4"/>
      <c r="F20" s="1"/>
      <c r="G20" s="4"/>
      <c r="H20" s="4"/>
      <c r="I20" s="4"/>
      <c r="J20" s="5"/>
      <c r="K20" s="6"/>
      <c r="L20" s="7"/>
    </row>
    <row x14ac:dyDescent="0.25" r="21" customHeight="1" ht="16.5">
      <c r="A21" s="1"/>
      <c r="B21" s="1"/>
      <c r="C21" s="2"/>
      <c r="D21" s="3"/>
      <c r="E21" s="4"/>
      <c r="F21" s="1"/>
      <c r="G21" s="4"/>
      <c r="H21" s="4"/>
      <c r="I21" s="4"/>
      <c r="J21" s="5"/>
      <c r="K21" s="6"/>
      <c r="L21" s="7"/>
    </row>
    <row x14ac:dyDescent="0.25" r="22" customHeight="1" ht="16.5">
      <c r="A22" s="1"/>
      <c r="B22" s="1"/>
      <c r="C22" s="2"/>
      <c r="D22" s="3"/>
      <c r="E22" s="4"/>
      <c r="F22" s="1"/>
      <c r="G22" s="4"/>
      <c r="H22" s="4"/>
      <c r="I22" s="4"/>
      <c r="J22" s="5"/>
      <c r="K22" s="18" t="s">
        <v>5</v>
      </c>
      <c r="L22" s="7"/>
    </row>
    <row x14ac:dyDescent="0.25" r="23" customHeight="1" ht="16.5">
      <c r="A23" s="19" t="s">
        <v>6</v>
      </c>
      <c r="B23" s="19" t="s">
        <v>7</v>
      </c>
      <c r="C23" s="20" t="s">
        <v>8</v>
      </c>
      <c r="D23" s="21" t="s">
        <v>9</v>
      </c>
      <c r="E23" s="22" t="s">
        <v>5</v>
      </c>
      <c r="F23" s="19" t="s">
        <v>10</v>
      </c>
      <c r="G23" s="22" t="s">
        <v>11</v>
      </c>
      <c r="H23" s="22" t="s">
        <v>12</v>
      </c>
      <c r="I23" s="22" t="s">
        <v>13</v>
      </c>
      <c r="J23" s="23" t="s">
        <v>14</v>
      </c>
      <c r="K23" s="18" t="s">
        <v>15</v>
      </c>
      <c r="L23" s="7"/>
    </row>
    <row x14ac:dyDescent="0.25" r="24" customHeight="1" ht="16.5">
      <c r="A24" s="24">
        <v>1</v>
      </c>
      <c r="B24" s="24">
        <v>0</v>
      </c>
      <c r="C24" s="24">
        <v>1</v>
      </c>
      <c r="D24" s="25">
        <f>(B24*G24-C24*F24)/(G24-F24)</f>
      </c>
      <c r="E24" s="26">
        <f>POWER(D24,3)-9*D24 +3</f>
      </c>
      <c r="F24" s="24">
        <f>POWER(B24,3)-9*B24 +3</f>
      </c>
      <c r="G24" s="24">
        <f>POWER(C24,3)-9*C24 +3</f>
      </c>
      <c r="H24" s="27">
        <f>F24*E24</f>
      </c>
      <c r="I24" s="26">
        <f>G24*E24</f>
      </c>
      <c r="J24" s="28">
        <f>$B$19</f>
      </c>
      <c r="K24" s="29">
        <f>ABS(E24)</f>
      </c>
      <c r="L24" s="30">
        <f>IF(K24&lt;J24, "Fim", " ")</f>
      </c>
    </row>
    <row x14ac:dyDescent="0.25" r="25" customHeight="1" ht="16.5">
      <c r="A25" s="24">
        <v>2</v>
      </c>
      <c r="B25" s="24">
        <v>0</v>
      </c>
      <c r="C25" s="31">
        <v>0.375</v>
      </c>
      <c r="D25" s="32">
        <f>(B25*G25-C25*F25)/(G25-F25)</f>
      </c>
      <c r="E25" s="26">
        <f>POWER(D25,3)-9*D25 +3</f>
      </c>
      <c r="F25" s="24">
        <f>POWER(B25,3)-9*B25 +3</f>
      </c>
      <c r="G25" s="26">
        <f>POWER(C25,3)-9*C25 +3</f>
      </c>
      <c r="H25" s="27">
        <f>F25*E25</f>
      </c>
      <c r="I25" s="26">
        <f>G25*E25</f>
      </c>
      <c r="J25" s="28">
        <f>$B$19</f>
      </c>
      <c r="K25" s="29">
        <f>ABS(E25)</f>
      </c>
      <c r="L25" s="30">
        <f>IF(K25&lt;J25, "Fim", " ")</f>
      </c>
    </row>
    <row x14ac:dyDescent="0.25" r="26" customHeight="1" ht="16.5">
      <c r="A26" s="24">
        <v>3</v>
      </c>
      <c r="B26" s="24">
        <v>0</v>
      </c>
      <c r="C26" s="33">
        <v>0.3386</v>
      </c>
      <c r="D26" s="34">
        <f>(B26*G26-C26*F26)/(G26-F26)</f>
      </c>
      <c r="E26" s="26">
        <f>POWER(D26,3)-9*D26 +3</f>
      </c>
      <c r="F26" s="24">
        <f>POWER(B26,3)-9*B26 +3</f>
      </c>
      <c r="G26" s="26">
        <f>POWER(C26,3)-9*C26 +3</f>
      </c>
      <c r="H26" s="27">
        <f>F26*E26</f>
      </c>
      <c r="I26" s="26">
        <f>G26*E26</f>
      </c>
      <c r="J26" s="28">
        <f>$B$19</f>
      </c>
      <c r="K26" s="29">
        <f>ABS(E26)</f>
      </c>
      <c r="L26" s="30">
        <f>IF(K26&lt;J26, "Fim", " ")</f>
      </c>
    </row>
    <row x14ac:dyDescent="0.25" r="27" customHeight="1" ht="16.5">
      <c r="A27" s="24">
        <v>4</v>
      </c>
      <c r="B27" s="35"/>
      <c r="C27" s="36"/>
      <c r="D27" s="37"/>
      <c r="E27" s="38"/>
      <c r="F27" s="35"/>
      <c r="G27" s="38"/>
      <c r="H27" s="38"/>
      <c r="I27" s="38"/>
      <c r="J27" s="39"/>
      <c r="K27" s="40"/>
      <c r="L27" s="30">
        <f>IF(K27&lt;J27, "Fim", " ")</f>
      </c>
    </row>
    <row x14ac:dyDescent="0.25" r="28" customHeight="1" ht="16.5">
      <c r="A28" s="24">
        <v>5</v>
      </c>
      <c r="B28" s="35"/>
      <c r="C28" s="36"/>
      <c r="D28" s="37"/>
      <c r="E28" s="38"/>
      <c r="F28" s="35"/>
      <c r="G28" s="38"/>
      <c r="H28" s="38"/>
      <c r="I28" s="38"/>
      <c r="J28" s="39"/>
      <c r="K28" s="40"/>
      <c r="L28" s="30">
        <f>IF(K28&lt;J28, "Fim", " ")</f>
      </c>
    </row>
    <row x14ac:dyDescent="0.25" r="29" customHeight="1" ht="16.5">
      <c r="A29" s="1"/>
      <c r="B29" s="1"/>
      <c r="C29" s="2"/>
      <c r="D29" s="3"/>
      <c r="E29" s="4"/>
      <c r="F29" s="1"/>
      <c r="G29" s="4"/>
      <c r="H29" s="4"/>
      <c r="I29" s="4"/>
      <c r="J29" s="5"/>
      <c r="K29" s="6"/>
      <c r="L29" s="7"/>
    </row>
    <row x14ac:dyDescent="0.25" r="30" customHeight="1" ht="16.5">
      <c r="A30" s="1"/>
      <c r="B30" s="41" t="s">
        <v>16</v>
      </c>
      <c r="C30" s="34">
        <f>D26</f>
      </c>
      <c r="D30" s="42">
        <f>POWER(C30,3)-9*C30 +3</f>
      </c>
      <c r="E30" s="4"/>
      <c r="F30" s="1"/>
      <c r="G30" s="4"/>
      <c r="H30" s="4"/>
      <c r="I30" s="4"/>
      <c r="J30" s="5"/>
      <c r="K30" s="6"/>
      <c r="L3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Ex_1</vt:lpstr>
      <vt:lpstr>Ex_2</vt:lpstr>
      <vt:lpstr>Ex_3</vt:lpstr>
      <vt:lpstr>Ex_4</vt:lpstr>
      <vt:lpstr>Ex_4 Newton</vt:lpstr>
      <vt:lpstr>Ex_4_Falsa_Posicao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2024-09-11T21:48:30.011Z</dcterms:created>
  <dcterms:modified xsi:type="dcterms:W3CDTF">2024-09-11T21:48:30.011Z</dcterms:modified>
</cp:coreProperties>
</file>