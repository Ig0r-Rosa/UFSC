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083b9f244c77dc93/Biblioteca/Prof. Substituto - DEC/Disciplinas/DEC7142 Cálculo Numérico em Computadores/Material/Unidade 3/Gauss-Seidel/"/>
    </mc:Choice>
  </mc:AlternateContent>
  <xr:revisionPtr revIDLastSave="11" documentId="11_AD4D361C20488DEA4E38A0CB8C1B51665BDEDD8C" xr6:coauthVersionLast="47" xr6:coauthVersionMax="47" xr10:uidLastSave="{40057FD0-B3EA-4FBE-A16F-C306EC87F901}"/>
  <bookViews>
    <workbookView xWindow="28695" yWindow="90" windowWidth="14610" windowHeight="15585" firstSheet="1" activeTab="4" xr2:uid="{00000000-000D-0000-FFFF-FFFF00000000}"/>
  </bookViews>
  <sheets>
    <sheet name="Exemplo 2" sheetId="2" r:id="rId1"/>
    <sheet name="Exercício 1" sheetId="3" r:id="rId2"/>
    <sheet name="Exercício 2" sheetId="4" r:id="rId3"/>
    <sheet name="Exercício 3" sheetId="5" r:id="rId4"/>
    <sheet name="Exercício 4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6" l="1"/>
  <c r="B49" i="6" s="1"/>
  <c r="B48" i="6"/>
  <c r="D48" i="6" s="1"/>
  <c r="G39" i="6"/>
  <c r="D39" i="6"/>
  <c r="C39" i="6"/>
  <c r="F39" i="6" s="1"/>
  <c r="D38" i="6"/>
  <c r="C38" i="6"/>
  <c r="B39" i="6" s="1"/>
  <c r="B38" i="6"/>
  <c r="C26" i="6"/>
  <c r="B26" i="6"/>
  <c r="D26" i="6" s="1"/>
  <c r="C25" i="6"/>
  <c r="B25" i="6"/>
  <c r="D25" i="6" s="1"/>
  <c r="C24" i="6"/>
  <c r="D24" i="6" s="1"/>
  <c r="B24" i="6"/>
  <c r="C14" i="6"/>
  <c r="B14" i="6"/>
  <c r="D14" i="6" s="1"/>
  <c r="C13" i="6"/>
  <c r="B13" i="6"/>
  <c r="D13" i="6" s="1"/>
  <c r="D12" i="6"/>
  <c r="C12" i="6"/>
  <c r="B12" i="6"/>
  <c r="B46" i="5"/>
  <c r="D38" i="5"/>
  <c r="C38" i="5"/>
  <c r="B39" i="5" s="1"/>
  <c r="B38" i="5"/>
  <c r="D39" i="5" s="1"/>
  <c r="G39" i="5" s="1"/>
  <c r="C26" i="5"/>
  <c r="B26" i="5"/>
  <c r="D26" i="5" s="1"/>
  <c r="C25" i="5"/>
  <c r="D25" i="5" s="1"/>
  <c r="B25" i="5"/>
  <c r="C24" i="5"/>
  <c r="B24" i="5"/>
  <c r="D24" i="5" s="1"/>
  <c r="C14" i="5"/>
  <c r="B14" i="5"/>
  <c r="D14" i="5" s="1"/>
  <c r="C13" i="5"/>
  <c r="B13" i="5"/>
  <c r="D13" i="5" s="1"/>
  <c r="D12" i="5"/>
  <c r="C12" i="5"/>
  <c r="B12" i="5"/>
  <c r="B52" i="4"/>
  <c r="C43" i="4"/>
  <c r="F43" i="4" s="1"/>
  <c r="D42" i="4"/>
  <c r="C42" i="4"/>
  <c r="B43" i="4" s="1"/>
  <c r="B42" i="4"/>
  <c r="D43" i="4" s="1"/>
  <c r="G43" i="4" s="1"/>
  <c r="C26" i="4"/>
  <c r="B26" i="4"/>
  <c r="D26" i="4" s="1"/>
  <c r="C25" i="4"/>
  <c r="B25" i="4"/>
  <c r="D25" i="4" s="1"/>
  <c r="C24" i="4"/>
  <c r="B24" i="4"/>
  <c r="D24" i="4" s="1"/>
  <c r="C14" i="4"/>
  <c r="B14" i="4"/>
  <c r="D14" i="4" s="1"/>
  <c r="C13" i="4"/>
  <c r="B13" i="4"/>
  <c r="D13" i="4" s="1"/>
  <c r="D12" i="4"/>
  <c r="C12" i="4"/>
  <c r="B12" i="4"/>
  <c r="B39" i="3"/>
  <c r="C27" i="3"/>
  <c r="D26" i="3"/>
  <c r="C26" i="3"/>
  <c r="B27" i="3" s="1"/>
  <c r="B26" i="3"/>
  <c r="D27" i="3" s="1"/>
  <c r="G27" i="3" s="1"/>
  <c r="D14" i="3"/>
  <c r="C14" i="3"/>
  <c r="B14" i="3"/>
  <c r="C13" i="3"/>
  <c r="B13" i="3"/>
  <c r="D13" i="3" s="1"/>
  <c r="C12" i="3"/>
  <c r="D12" i="3" s="1"/>
  <c r="B12" i="3"/>
  <c r="B37" i="2"/>
  <c r="C37" i="2" s="1"/>
  <c r="D28" i="2"/>
  <c r="B29" i="2" s="1"/>
  <c r="C28" i="2"/>
  <c r="B28" i="2"/>
  <c r="D29" i="2" s="1"/>
  <c r="G29" i="2" s="1"/>
  <c r="C14" i="2"/>
  <c r="B14" i="2"/>
  <c r="D14" i="2" s="1"/>
  <c r="C13" i="2"/>
  <c r="B13" i="2"/>
  <c r="D13" i="2" s="1"/>
  <c r="C12" i="2"/>
  <c r="B12" i="2"/>
  <c r="D12" i="2" s="1"/>
  <c r="D40" i="6" l="1"/>
  <c r="G40" i="6" s="1"/>
  <c r="C40" i="6"/>
  <c r="E39" i="6"/>
  <c r="H39" i="6" s="1"/>
  <c r="E49" i="6"/>
  <c r="C49" i="6"/>
  <c r="D49" i="6" s="1"/>
  <c r="G49" i="6" s="1"/>
  <c r="B40" i="6"/>
  <c r="E39" i="5"/>
  <c r="C40" i="5"/>
  <c r="C46" i="5"/>
  <c r="C39" i="5"/>
  <c r="E43" i="4"/>
  <c r="H43" i="4" s="1"/>
  <c r="D44" i="4"/>
  <c r="G44" i="4" s="1"/>
  <c r="C44" i="4"/>
  <c r="B44" i="4"/>
  <c r="C52" i="4"/>
  <c r="D52" i="4" s="1"/>
  <c r="E27" i="3"/>
  <c r="D28" i="3"/>
  <c r="G28" i="3" s="1"/>
  <c r="C28" i="3"/>
  <c r="B28" i="3"/>
  <c r="C39" i="3"/>
  <c r="F27" i="3"/>
  <c r="E29" i="2"/>
  <c r="C30" i="2"/>
  <c r="C29" i="2"/>
  <c r="D37" i="2"/>
  <c r="B38" i="2" s="1"/>
  <c r="D41" i="6" l="1"/>
  <c r="G41" i="6" s="1"/>
  <c r="E40" i="6"/>
  <c r="H40" i="6" s="1"/>
  <c r="C41" i="6"/>
  <c r="B50" i="6"/>
  <c r="F49" i="6"/>
  <c r="H49" i="6"/>
  <c r="F40" i="6"/>
  <c r="B41" i="6"/>
  <c r="D46" i="5"/>
  <c r="B47" i="5" s="1"/>
  <c r="F40" i="5"/>
  <c r="B40" i="5"/>
  <c r="F39" i="5"/>
  <c r="H39" i="5" s="1"/>
  <c r="D40" i="5"/>
  <c r="G40" i="5" s="1"/>
  <c r="E44" i="4"/>
  <c r="H44" i="4" s="1"/>
  <c r="C45" i="4"/>
  <c r="D45" i="4"/>
  <c r="G45" i="4" s="1"/>
  <c r="F44" i="4"/>
  <c r="B45" i="4"/>
  <c r="B53" i="4"/>
  <c r="D39" i="3"/>
  <c r="B40" i="3" s="1"/>
  <c r="D29" i="3"/>
  <c r="G29" i="3" s="1"/>
  <c r="C29" i="3"/>
  <c r="E28" i="3"/>
  <c r="B29" i="3"/>
  <c r="F28" i="3"/>
  <c r="H27" i="3"/>
  <c r="C38" i="2"/>
  <c r="E38" i="2"/>
  <c r="D38" i="2"/>
  <c r="G38" i="2" s="1"/>
  <c r="F30" i="2"/>
  <c r="B30" i="2"/>
  <c r="F29" i="2"/>
  <c r="H29" i="2"/>
  <c r="D30" i="2"/>
  <c r="G30" i="2" s="1"/>
  <c r="D42" i="6" l="1"/>
  <c r="G42" i="6" s="1"/>
  <c r="C42" i="6"/>
  <c r="E41" i="6"/>
  <c r="C50" i="6"/>
  <c r="E50" i="6"/>
  <c r="D50" i="6"/>
  <c r="G50" i="6" s="1"/>
  <c r="B42" i="6"/>
  <c r="F41" i="6"/>
  <c r="E47" i="5"/>
  <c r="C47" i="5"/>
  <c r="C41" i="5"/>
  <c r="E40" i="5"/>
  <c r="H40" i="5" s="1"/>
  <c r="D41" i="5"/>
  <c r="G41" i="5" s="1"/>
  <c r="B41" i="5"/>
  <c r="E53" i="4"/>
  <c r="C53" i="4"/>
  <c r="D46" i="4"/>
  <c r="G46" i="4" s="1"/>
  <c r="C46" i="4"/>
  <c r="E45" i="4"/>
  <c r="B46" i="4"/>
  <c r="F45" i="4"/>
  <c r="E40" i="3"/>
  <c r="C40" i="3"/>
  <c r="H28" i="3"/>
  <c r="E29" i="3"/>
  <c r="C30" i="3"/>
  <c r="D30" i="3"/>
  <c r="G30" i="3" s="1"/>
  <c r="F29" i="3"/>
  <c r="B30" i="3"/>
  <c r="B31" i="2"/>
  <c r="E30" i="2"/>
  <c r="H30" i="2" s="1"/>
  <c r="C31" i="2"/>
  <c r="D31" i="2"/>
  <c r="G31" i="2" s="1"/>
  <c r="B39" i="2"/>
  <c r="F38" i="2"/>
  <c r="H38" i="2" s="1"/>
  <c r="B51" i="6" l="1"/>
  <c r="F50" i="6"/>
  <c r="H50" i="6" s="1"/>
  <c r="H41" i="6"/>
  <c r="E42" i="6"/>
  <c r="C43" i="6"/>
  <c r="D43" i="6"/>
  <c r="G43" i="6" s="1"/>
  <c r="B43" i="6"/>
  <c r="F42" i="6"/>
  <c r="C42" i="5"/>
  <c r="D42" i="5"/>
  <c r="E41" i="5"/>
  <c r="F47" i="5"/>
  <c r="D47" i="5"/>
  <c r="G47" i="5" s="1"/>
  <c r="H47" i="5" s="1"/>
  <c r="F41" i="5"/>
  <c r="B42" i="5"/>
  <c r="E46" i="4"/>
  <c r="C47" i="4"/>
  <c r="D47" i="4"/>
  <c r="G47" i="4" s="1"/>
  <c r="H45" i="4"/>
  <c r="F53" i="4"/>
  <c r="D53" i="4"/>
  <c r="G53" i="4" s="1"/>
  <c r="B47" i="4"/>
  <c r="F46" i="4"/>
  <c r="H53" i="4"/>
  <c r="D31" i="3"/>
  <c r="G31" i="3" s="1"/>
  <c r="C31" i="3"/>
  <c r="E30" i="3"/>
  <c r="F30" i="3"/>
  <c r="B31" i="3"/>
  <c r="F40" i="3"/>
  <c r="H29" i="3"/>
  <c r="D40" i="3"/>
  <c r="G40" i="3" s="1"/>
  <c r="H40" i="3" s="1"/>
  <c r="C39" i="2"/>
  <c r="E39" i="2"/>
  <c r="D39" i="2"/>
  <c r="G39" i="2" s="1"/>
  <c r="B32" i="2"/>
  <c r="F31" i="2"/>
  <c r="C32" i="2"/>
  <c r="E31" i="2"/>
  <c r="H31" i="2" s="1"/>
  <c r="D32" i="2"/>
  <c r="G32" i="2" s="1"/>
  <c r="B44" i="6" l="1"/>
  <c r="F43" i="6"/>
  <c r="C44" i="6"/>
  <c r="E43" i="6"/>
  <c r="H43" i="6" s="1"/>
  <c r="D44" i="6"/>
  <c r="H42" i="6"/>
  <c r="C51" i="6"/>
  <c r="E51" i="6"/>
  <c r="D51" i="6"/>
  <c r="G51" i="6" s="1"/>
  <c r="J18" i="5"/>
  <c r="E42" i="5"/>
  <c r="G18" i="5"/>
  <c r="B48" i="5"/>
  <c r="G42" i="5"/>
  <c r="G20" i="5"/>
  <c r="H41" i="5"/>
  <c r="G19" i="5"/>
  <c r="F42" i="5"/>
  <c r="C48" i="4"/>
  <c r="E47" i="4"/>
  <c r="D48" i="4"/>
  <c r="B54" i="4"/>
  <c r="B48" i="4"/>
  <c r="F47" i="4"/>
  <c r="H46" i="4"/>
  <c r="E31" i="3"/>
  <c r="D32" i="3"/>
  <c r="G32" i="3" s="1"/>
  <c r="C32" i="3"/>
  <c r="B32" i="3"/>
  <c r="F31" i="3"/>
  <c r="B41" i="3"/>
  <c r="H30" i="3"/>
  <c r="C33" i="2"/>
  <c r="E32" i="2"/>
  <c r="D33" i="2"/>
  <c r="B33" i="2"/>
  <c r="F32" i="2"/>
  <c r="B40" i="2"/>
  <c r="F39" i="2"/>
  <c r="H39" i="2" s="1"/>
  <c r="B52" i="6" l="1"/>
  <c r="F51" i="6"/>
  <c r="G20" i="6"/>
  <c r="G44" i="6"/>
  <c r="H51" i="6"/>
  <c r="F44" i="6"/>
  <c r="G19" i="6"/>
  <c r="G18" i="6"/>
  <c r="H18" i="6" s="1" a="1"/>
  <c r="E44" i="6"/>
  <c r="H44" i="6" s="1"/>
  <c r="C48" i="5"/>
  <c r="E48" i="5"/>
  <c r="D48" i="5"/>
  <c r="G48" i="5" s="1"/>
  <c r="H18" i="5" a="1"/>
  <c r="H42" i="5"/>
  <c r="G19" i="4"/>
  <c r="F48" i="4"/>
  <c r="C54" i="4"/>
  <c r="E54" i="4"/>
  <c r="D54" i="4"/>
  <c r="G54" i="4" s="1"/>
  <c r="G18" i="4"/>
  <c r="H18" i="4" s="1" a="1"/>
  <c r="E48" i="4"/>
  <c r="G20" i="4"/>
  <c r="G48" i="4"/>
  <c r="H47" i="4"/>
  <c r="E41" i="3"/>
  <c r="C41" i="3"/>
  <c r="C33" i="3"/>
  <c r="E32" i="3"/>
  <c r="D33" i="3"/>
  <c r="B33" i="3"/>
  <c r="F32" i="3"/>
  <c r="H31" i="3"/>
  <c r="J6" i="2"/>
  <c r="E40" i="2"/>
  <c r="C40" i="2"/>
  <c r="G8" i="2"/>
  <c r="G33" i="2"/>
  <c r="G6" i="2"/>
  <c r="E33" i="2"/>
  <c r="H32" i="2"/>
  <c r="F33" i="2"/>
  <c r="G7" i="2"/>
  <c r="E52" i="6" l="1"/>
  <c r="J18" i="6"/>
  <c r="C52" i="6"/>
  <c r="D52" i="6" s="1"/>
  <c r="H18" i="6"/>
  <c r="H20" i="6"/>
  <c r="H19" i="6"/>
  <c r="H20" i="5"/>
  <c r="H18" i="5"/>
  <c r="H19" i="5"/>
  <c r="F48" i="5"/>
  <c r="H48" i="5" s="1"/>
  <c r="B49" i="5"/>
  <c r="H48" i="4"/>
  <c r="H54" i="4"/>
  <c r="H18" i="4"/>
  <c r="H20" i="4"/>
  <c r="H19" i="4"/>
  <c r="B55" i="4"/>
  <c r="F54" i="4"/>
  <c r="G8" i="3"/>
  <c r="G33" i="3"/>
  <c r="G6" i="3"/>
  <c r="H6" i="3" s="1" a="1"/>
  <c r="E33" i="3"/>
  <c r="H32" i="3"/>
  <c r="F33" i="3"/>
  <c r="G7" i="3"/>
  <c r="F41" i="3"/>
  <c r="D41" i="3"/>
  <c r="G41" i="3" s="1"/>
  <c r="H41" i="3" s="1"/>
  <c r="J7" i="2"/>
  <c r="F40" i="2"/>
  <c r="H33" i="2"/>
  <c r="D40" i="2"/>
  <c r="H6" i="2" a="1"/>
  <c r="G52" i="6" l="1"/>
  <c r="J20" i="6"/>
  <c r="K18" i="6" a="1"/>
  <c r="F52" i="6"/>
  <c r="J19" i="6"/>
  <c r="H52" i="6"/>
  <c r="E49" i="5"/>
  <c r="C49" i="5"/>
  <c r="D49" i="5" s="1"/>
  <c r="C55" i="4"/>
  <c r="D55" i="4" s="1"/>
  <c r="G55" i="4" s="1"/>
  <c r="E55" i="4"/>
  <c r="H7" i="3"/>
  <c r="H8" i="3"/>
  <c r="H6" i="3"/>
  <c r="B42" i="3"/>
  <c r="H33" i="3"/>
  <c r="G40" i="2"/>
  <c r="H40" i="2" s="1"/>
  <c r="J8" i="2"/>
  <c r="K6" i="2" s="1" a="1"/>
  <c r="H6" i="2"/>
  <c r="H7" i="2"/>
  <c r="H8" i="2"/>
  <c r="K20" i="6" l="1"/>
  <c r="K18" i="6"/>
  <c r="K19" i="6"/>
  <c r="G49" i="5"/>
  <c r="J20" i="5"/>
  <c r="F49" i="5"/>
  <c r="J19" i="5"/>
  <c r="K18" i="5" s="1" a="1"/>
  <c r="H49" i="5"/>
  <c r="H55" i="4"/>
  <c r="F55" i="4"/>
  <c r="B56" i="4"/>
  <c r="C42" i="3"/>
  <c r="D42" i="3" s="1"/>
  <c r="G42" i="3" s="1"/>
  <c r="E42" i="3"/>
  <c r="K6" i="2"/>
  <c r="K8" i="2"/>
  <c r="K7" i="2"/>
  <c r="K20" i="5" l="1"/>
  <c r="K19" i="5"/>
  <c r="K18" i="5"/>
  <c r="E56" i="4"/>
  <c r="J18" i="4"/>
  <c r="C56" i="4"/>
  <c r="B43" i="3"/>
  <c r="F42" i="3"/>
  <c r="H42" i="3" s="1"/>
  <c r="F56" i="4" l="1"/>
  <c r="J19" i="4"/>
  <c r="D56" i="4"/>
  <c r="E43" i="3"/>
  <c r="J6" i="3"/>
  <c r="C43" i="3"/>
  <c r="G56" i="4" l="1"/>
  <c r="H56" i="4" s="1"/>
  <c r="J20" i="4"/>
  <c r="K18" i="4" s="1" a="1"/>
  <c r="F43" i="3"/>
  <c r="J7" i="3"/>
  <c r="D43" i="3"/>
  <c r="K19" i="4" l="1"/>
  <c r="K20" i="4"/>
  <c r="K18" i="4"/>
  <c r="G43" i="3"/>
  <c r="H43" i="3" s="1"/>
  <c r="J8" i="3"/>
  <c r="K6" i="3" s="1" a="1"/>
  <c r="K8" i="3" l="1"/>
  <c r="K7" i="3"/>
  <c r="K6" i="3"/>
</calcChain>
</file>

<file path=xl/sharedStrings.xml><?xml version="1.0" encoding="utf-8"?>
<sst xmlns="http://schemas.openxmlformats.org/spreadsheetml/2006/main" count="245" uniqueCount="42">
  <si>
    <r>
      <rPr>
        <b/>
        <sz val="12"/>
        <color rgb="FF000099"/>
        <rFont val="Liberation Sans"/>
      </rPr>
      <t>Exemplo 1:</t>
    </r>
    <r>
      <rPr>
        <sz val="12"/>
        <color rgb="FF000000"/>
        <rFont val="Liberation Sans"/>
      </rPr>
      <t xml:space="preserve"> </t>
    </r>
    <r>
      <rPr>
        <sz val="12"/>
        <color theme="1"/>
        <rFont val="Liberation Sans"/>
      </rPr>
      <t>Resolver por Gauss-Jacobi, com 4 decimais com arredondamento e erro menor ou igual a 0,01 o sistema abaixo:</t>
    </r>
  </si>
  <si>
    <t>Verificação</t>
  </si>
  <si>
    <t xml:space="preserve"> Matriz A</t>
  </si>
  <si>
    <t>GJ</t>
  </si>
  <si>
    <t>GS</t>
  </si>
  <si>
    <t>A</t>
  </si>
  <si>
    <t>b</t>
  </si>
  <si>
    <t>x</t>
  </si>
  <si>
    <t>b'</t>
  </si>
  <si>
    <t>b''</t>
  </si>
  <si>
    <t>a) Verificação da convergência:</t>
  </si>
  <si>
    <t>Soma de | a ii |</t>
  </si>
  <si>
    <t>a11</t>
  </si>
  <si>
    <t>a22</t>
  </si>
  <si>
    <t>a33</t>
  </si>
  <si>
    <t>b) Isolamento das incógnitas:</t>
  </si>
  <si>
    <t>x1=</t>
  </si>
  <si>
    <t>'=1/6(7+x2-x3)</t>
  </si>
  <si>
    <t>x2=</t>
  </si>
  <si>
    <t>'=1/8(16-x1+x3)</t>
  </si>
  <si>
    <t>x3=</t>
  </si>
  <si>
    <t>'=1/5(18-x1-x2)</t>
  </si>
  <si>
    <t>c) Atribuição inicial:</t>
  </si>
  <si>
    <t>x1</t>
  </si>
  <si>
    <t>x2</t>
  </si>
  <si>
    <t>x3</t>
  </si>
  <si>
    <t>d) Iterações:</t>
  </si>
  <si>
    <t>erro</t>
  </si>
  <si>
    <t>N</t>
  </si>
  <si>
    <t>er_x1</t>
  </si>
  <si>
    <t>er_x2</t>
  </si>
  <si>
    <t>er_x3</t>
  </si>
  <si>
    <r>
      <rPr>
        <b/>
        <sz val="11"/>
        <color rgb="FF000099"/>
        <rFont val="Liberation Sans"/>
      </rPr>
      <t>Exemplo 2:</t>
    </r>
    <r>
      <rPr>
        <sz val="12"/>
        <color theme="1"/>
        <rFont val="Liberation Sans1"/>
      </rPr>
      <t xml:space="preserve"> Resolver por Gauss-Seidel, com 4 decimais com arredondamento e erro menor ou igual a 0,01 o sistema abaixo:</t>
    </r>
  </si>
  <si>
    <r>
      <rPr>
        <b/>
        <sz val="11"/>
        <color rgb="FF000099"/>
        <rFont val="Liberation Sans"/>
      </rPr>
      <t>Exercício 1:</t>
    </r>
    <r>
      <rPr>
        <sz val="12"/>
        <color theme="1"/>
        <rFont val="Liberation Sans"/>
      </rPr>
      <t xml:space="preserve"> Resolver por Gauss-Jacobi e Gauss-Seidel, com 4 decimais com arredondamento e erro menor ou igual a 0,02 o sistema abaixo:</t>
    </r>
  </si>
  <si>
    <t>Gauss-Jacobi</t>
  </si>
  <si>
    <t>Gauss-Seidel</t>
  </si>
  <si>
    <r>
      <rPr>
        <b/>
        <sz val="11"/>
        <color rgb="FF000099"/>
        <rFont val="Liberation Sans"/>
      </rPr>
      <t>Exercício 2:</t>
    </r>
    <r>
      <rPr>
        <sz val="12"/>
        <color theme="1"/>
        <rFont val="Liberation Sans1"/>
      </rPr>
      <t xml:space="preserve"> Resolver por Gauss-Jacobi e Gauss-Seidel, com 4 decimais com arredondamento e erro menor ou igual a 0,05 o sistema abaixo:</t>
    </r>
  </si>
  <si>
    <t>'=(1/4)(19-(-1)x2-(1)x3)</t>
  </si>
  <si>
    <t>'=(1/3)(14-(1)x1-(-1)x3)</t>
  </si>
  <si>
    <t>'=(1/(-5))(-6-(1)x1-(1)x2)</t>
  </si>
  <si>
    <r>
      <rPr>
        <b/>
        <sz val="11"/>
        <color rgb="FF000099"/>
        <rFont val="Liberation Sans"/>
      </rPr>
      <t>Exercício 3:</t>
    </r>
    <r>
      <rPr>
        <sz val="12"/>
        <color theme="1"/>
        <rFont val="Liberation Sans1"/>
      </rPr>
      <t xml:space="preserve"> Resolver por Gauss-Jacobi e Gauss-Seidel, com 4 decimais com arredondamento e erro menor ou igual a 0,05 o sistema abaixo:</t>
    </r>
  </si>
  <si>
    <r>
      <rPr>
        <b/>
        <sz val="11"/>
        <color rgb="FF000099"/>
        <rFont val="Liberation Sans"/>
      </rPr>
      <t>Exercício 4:</t>
    </r>
    <r>
      <rPr>
        <sz val="12"/>
        <color theme="1"/>
        <rFont val="Liberation Sans1"/>
      </rPr>
      <t xml:space="preserve"> Resolver por Gauss-Jacobi e Gauss-Seidel, com 4 decimais com arredondamento e erro menor ou igual a 0,01 o sistema abaixo: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</si>
</sst>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2">
    <font>
      <sz val="11"/>
      <color theme="1"/>
      <name val="Calibri"/>
      <family val="2"/>
      <scheme val="minor"/>
    </font>
    <font>
      <sz val="11"/>
      <color theme="1"/>
      <name val="Liberation Sans"/>
    </font>
    <font>
      <sz val="12"/>
      <color theme="1"/>
      <name val="Liberation Sans1"/>
    </font>
    <font>
      <b/>
      <sz val="12"/>
      <color rgb="FF000099"/>
      <name val="Liberation Sans"/>
    </font>
    <font>
      <sz val="12"/>
      <color rgb="FF000000"/>
      <name val="Liberation Sans"/>
    </font>
    <font>
      <sz val="12"/>
      <color theme="1"/>
      <name val="Liberation Sans"/>
    </font>
    <font>
      <sz val="12"/>
      <color theme="1"/>
      <name val="Liberation Sans2"/>
    </font>
    <font>
      <b/>
      <sz val="12"/>
      <color theme="1"/>
      <name val="Liberation Sans2"/>
    </font>
    <font>
      <b/>
      <sz val="11"/>
      <color theme="1"/>
      <name val="Liberation Sans"/>
    </font>
    <font>
      <b/>
      <sz val="12"/>
      <color theme="1"/>
      <name val="Liberation Sans1"/>
    </font>
    <font>
      <b/>
      <sz val="11"/>
      <color rgb="FF000099"/>
      <name val="Liberation Sans"/>
    </font>
    <font>
      <b/>
      <sz val="12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FE7F5"/>
        <bgColor rgb="FFCFE7F5"/>
      </patternFill>
    </fill>
    <fill>
      <patternFill patternType="solid">
        <fgColor rgb="FFCCFF99"/>
        <bgColor rgb="FFCCFF99"/>
      </patternFill>
    </fill>
    <fill>
      <patternFill patternType="solid">
        <fgColor rgb="FFFFCC00"/>
        <bgColor rgb="FFFFCC00"/>
      </patternFill>
    </fill>
    <fill>
      <patternFill patternType="solid">
        <fgColor rgb="FFFFFF99"/>
        <bgColor rgb="FFFFFF99"/>
      </patternFill>
    </fill>
    <fill>
      <patternFill patternType="solid">
        <fgColor rgb="FFDDDDDD"/>
        <bgColor rgb="FFDDDDDD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2">
    <xf numFmtId="0" fontId="0" fillId="0" borderId="0" xfId="0"/>
    <xf numFmtId="0" fontId="2" fillId="0" borderId="0" xfId="1" applyFont="1" applyAlignment="1">
      <alignment horizontal="left" vertical="center" wrapText="1"/>
    </xf>
    <xf numFmtId="0" fontId="1" fillId="0" borderId="0" xfId="1"/>
    <xf numFmtId="0" fontId="1" fillId="0" borderId="0" xfId="1"/>
    <xf numFmtId="0" fontId="6" fillId="0" borderId="0" xfId="1" applyFont="1"/>
    <xf numFmtId="0" fontId="7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7" fillId="0" borderId="0" xfId="1" applyFont="1"/>
    <xf numFmtId="0" fontId="6" fillId="2" borderId="1" xfId="1" applyFont="1" applyFill="1" applyBorder="1"/>
    <xf numFmtId="0" fontId="6" fillId="3" borderId="1" xfId="1" applyFont="1" applyFill="1" applyBorder="1"/>
    <xf numFmtId="164" fontId="6" fillId="4" borderId="1" xfId="1" applyNumberFormat="1" applyFont="1" applyFill="1" applyBorder="1"/>
    <xf numFmtId="164" fontId="5" fillId="5" borderId="1" xfId="1" applyNumberFormat="1" applyFont="1" applyFill="1" applyBorder="1"/>
    <xf numFmtId="164" fontId="1" fillId="0" borderId="0" xfId="1" applyNumberFormat="1"/>
    <xf numFmtId="0" fontId="9" fillId="0" borderId="0" xfId="1" applyFont="1" applyAlignment="1">
      <alignment horizontal="left"/>
    </xf>
    <xf numFmtId="0" fontId="9" fillId="0" borderId="1" xfId="1" applyFont="1" applyBorder="1" applyAlignment="1">
      <alignment horizontal="left"/>
    </xf>
    <xf numFmtId="0" fontId="6" fillId="0" borderId="1" xfId="1" applyFont="1" applyBorder="1"/>
    <xf numFmtId="0" fontId="6" fillId="0" borderId="1" xfId="1" applyFont="1" applyBorder="1" applyAlignment="1">
      <alignment horizontal="center"/>
    </xf>
    <xf numFmtId="0" fontId="8" fillId="0" borderId="0" xfId="1" applyFont="1"/>
    <xf numFmtId="0" fontId="1" fillId="6" borderId="1" xfId="1" applyFill="1" applyBorder="1"/>
    <xf numFmtId="0" fontId="1" fillId="0" borderId="1" xfId="1" applyBorder="1"/>
    <xf numFmtId="0" fontId="8" fillId="5" borderId="0" xfId="1" applyFont="1" applyFill="1"/>
    <xf numFmtId="0" fontId="8" fillId="6" borderId="1" xfId="1" applyFont="1" applyFill="1" applyBorder="1" applyAlignment="1">
      <alignment horizontal="center"/>
    </xf>
    <xf numFmtId="0" fontId="8" fillId="7" borderId="1" xfId="1" applyFont="1" applyFill="1" applyBorder="1" applyAlignment="1">
      <alignment horizontal="center"/>
    </xf>
    <xf numFmtId="0" fontId="1" fillId="8" borderId="1" xfId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0" fontId="5" fillId="0" borderId="0" xfId="2" applyFont="1" applyAlignment="1">
      <alignment horizontal="left" vertical="center" wrapText="1"/>
    </xf>
    <xf numFmtId="0" fontId="5" fillId="0" borderId="0" xfId="2" applyFont="1"/>
    <xf numFmtId="0" fontId="1" fillId="0" borderId="0" xfId="2"/>
    <xf numFmtId="0" fontId="11" fillId="0" borderId="0" xfId="2" applyFont="1" applyAlignment="1">
      <alignment horizontal="left"/>
    </xf>
    <xf numFmtId="0" fontId="11" fillId="0" borderId="0" xfId="2" applyFont="1" applyAlignment="1">
      <alignment horizontal="center"/>
    </xf>
    <xf numFmtId="0" fontId="11" fillId="0" borderId="0" xfId="2" applyFont="1"/>
    <xf numFmtId="0" fontId="5" fillId="8" borderId="1" xfId="2" applyFont="1" applyFill="1" applyBorder="1"/>
    <xf numFmtId="0" fontId="5" fillId="2" borderId="1" xfId="2" applyFont="1" applyFill="1" applyBorder="1"/>
    <xf numFmtId="0" fontId="5" fillId="3" borderId="1" xfId="2" applyFont="1" applyFill="1" applyBorder="1"/>
    <xf numFmtId="164" fontId="5" fillId="4" borderId="1" xfId="2" applyNumberFormat="1" applyFont="1" applyFill="1" applyBorder="1"/>
    <xf numFmtId="164" fontId="5" fillId="5" borderId="1" xfId="2" applyNumberFormat="1" applyFont="1" applyFill="1" applyBorder="1"/>
    <xf numFmtId="0" fontId="11" fillId="0" borderId="1" xfId="2" applyFont="1" applyBorder="1" applyAlignment="1">
      <alignment horizontal="left"/>
    </xf>
    <xf numFmtId="0" fontId="5" fillId="0" borderId="1" xfId="2" applyFont="1" applyBorder="1"/>
    <xf numFmtId="0" fontId="5" fillId="0" borderId="1" xfId="2" applyFont="1" applyBorder="1" applyAlignment="1">
      <alignment horizontal="left"/>
    </xf>
    <xf numFmtId="0" fontId="5" fillId="6" borderId="1" xfId="2" applyFont="1" applyFill="1" applyBorder="1"/>
    <xf numFmtId="0" fontId="11" fillId="5" borderId="0" xfId="2" applyFont="1" applyFill="1"/>
    <xf numFmtId="0" fontId="11" fillId="6" borderId="1" xfId="2" applyFont="1" applyFill="1" applyBorder="1" applyAlignment="1">
      <alignment horizontal="center"/>
    </xf>
    <xf numFmtId="0" fontId="11" fillId="7" borderId="1" xfId="2" applyFont="1" applyFill="1" applyBorder="1" applyAlignment="1">
      <alignment horizontal="center"/>
    </xf>
    <xf numFmtId="164" fontId="5" fillId="0" borderId="1" xfId="2" applyNumberFormat="1" applyFont="1" applyBorder="1"/>
    <xf numFmtId="0" fontId="11" fillId="0" borderId="1" xfId="2" applyFont="1" applyBorder="1" applyAlignment="1">
      <alignment horizontal="center"/>
    </xf>
    <xf numFmtId="165" fontId="5" fillId="0" borderId="1" xfId="2" applyNumberFormat="1" applyFont="1" applyBorder="1"/>
    <xf numFmtId="0" fontId="1" fillId="0" borderId="0" xfId="2"/>
    <xf numFmtId="0" fontId="2" fillId="0" borderId="0" xfId="3" applyFont="1" applyAlignment="1">
      <alignment horizontal="left" vertical="center" wrapText="1"/>
    </xf>
    <xf numFmtId="0" fontId="1" fillId="0" borderId="0" xfId="3"/>
    <xf numFmtId="0" fontId="1" fillId="0" borderId="0" xfId="3"/>
    <xf numFmtId="0" fontId="6" fillId="0" borderId="0" xfId="3" applyFont="1"/>
    <xf numFmtId="0" fontId="9" fillId="0" borderId="0" xfId="3" applyFont="1" applyAlignment="1">
      <alignment horizontal="left"/>
    </xf>
    <xf numFmtId="0" fontId="7" fillId="0" borderId="0" xfId="3" applyFont="1"/>
    <xf numFmtId="0" fontId="6" fillId="2" borderId="1" xfId="3" applyFont="1" applyFill="1" applyBorder="1"/>
    <xf numFmtId="0" fontId="6" fillId="3" borderId="1" xfId="3" applyFont="1" applyFill="1" applyBorder="1"/>
    <xf numFmtId="0" fontId="9" fillId="0" borderId="1" xfId="3" applyFont="1" applyBorder="1" applyAlignment="1">
      <alignment horizontal="left"/>
    </xf>
    <xf numFmtId="0" fontId="6" fillId="0" borderId="1" xfId="3" applyFont="1" applyBorder="1"/>
    <xf numFmtId="0" fontId="6" fillId="0" borderId="1" xfId="3" applyFont="1" applyBorder="1" applyAlignment="1">
      <alignment horizontal="center"/>
    </xf>
    <xf numFmtId="0" fontId="7" fillId="0" borderId="0" xfId="3" applyFont="1" applyAlignment="1">
      <alignment horizontal="left"/>
    </xf>
    <xf numFmtId="0" fontId="7" fillId="0" borderId="0" xfId="3" applyFont="1" applyAlignment="1">
      <alignment horizontal="center"/>
    </xf>
    <xf numFmtId="0" fontId="8" fillId="0" borderId="0" xfId="3" applyFont="1" applyAlignment="1">
      <alignment horizontal="center"/>
    </xf>
    <xf numFmtId="164" fontId="6" fillId="4" borderId="1" xfId="3" applyNumberFormat="1" applyFont="1" applyFill="1" applyBorder="1"/>
    <xf numFmtId="164" fontId="5" fillId="5" borderId="1" xfId="3" applyNumberFormat="1" applyFont="1" applyFill="1" applyBorder="1"/>
    <xf numFmtId="0" fontId="8" fillId="0" borderId="0" xfId="3" applyFont="1"/>
    <xf numFmtId="0" fontId="8" fillId="6" borderId="1" xfId="3" applyFont="1" applyFill="1" applyBorder="1"/>
    <xf numFmtId="0" fontId="1" fillId="0" borderId="1" xfId="3" applyBorder="1"/>
    <xf numFmtId="0" fontId="8" fillId="5" borderId="0" xfId="3" applyFont="1" applyFill="1"/>
    <xf numFmtId="0" fontId="11" fillId="0" borderId="0" xfId="3" applyFont="1"/>
    <xf numFmtId="0" fontId="8" fillId="0" borderId="1" xfId="3" applyFont="1" applyBorder="1" applyAlignment="1">
      <alignment horizontal="center"/>
    </xf>
    <xf numFmtId="0" fontId="8" fillId="6" borderId="1" xfId="3" applyFont="1" applyFill="1" applyBorder="1" applyAlignment="1">
      <alignment horizontal="center"/>
    </xf>
    <xf numFmtId="0" fontId="8" fillId="7" borderId="1" xfId="3" applyFont="1" applyFill="1" applyBorder="1" applyAlignment="1">
      <alignment horizontal="center"/>
    </xf>
    <xf numFmtId="164" fontId="1" fillId="0" borderId="1" xfId="3" applyNumberFormat="1" applyBorder="1"/>
    <xf numFmtId="0" fontId="2" fillId="0" borderId="0" xfId="4" applyFont="1" applyAlignment="1">
      <alignment horizontal="left" vertical="center" wrapText="1"/>
    </xf>
    <xf numFmtId="0" fontId="1" fillId="0" borderId="0" xfId="4"/>
    <xf numFmtId="0" fontId="1" fillId="0" borderId="0" xfId="4"/>
    <xf numFmtId="0" fontId="6" fillId="0" borderId="0" xfId="4" applyFont="1"/>
    <xf numFmtId="0" fontId="9" fillId="0" borderId="0" xfId="4" applyFont="1" applyAlignment="1">
      <alignment horizontal="left"/>
    </xf>
    <xf numFmtId="0" fontId="7" fillId="0" borderId="0" xfId="4" applyFont="1"/>
    <xf numFmtId="0" fontId="6" fillId="2" borderId="1" xfId="4" applyFont="1" applyFill="1" applyBorder="1"/>
    <xf numFmtId="0" fontId="6" fillId="3" borderId="1" xfId="4" applyFont="1" applyFill="1" applyBorder="1"/>
    <xf numFmtId="0" fontId="9" fillId="0" borderId="1" xfId="4" applyFont="1" applyBorder="1" applyAlignment="1">
      <alignment horizontal="left"/>
    </xf>
    <xf numFmtId="0" fontId="6" fillId="0" borderId="1" xfId="4" applyFont="1" applyBorder="1"/>
    <xf numFmtId="0" fontId="6" fillId="0" borderId="1" xfId="4" applyFont="1" applyBorder="1" applyAlignment="1">
      <alignment horizontal="center"/>
    </xf>
    <xf numFmtId="0" fontId="7" fillId="0" borderId="0" xfId="4" applyFont="1" applyAlignment="1">
      <alignment horizontal="left"/>
    </xf>
    <xf numFmtId="0" fontId="7" fillId="0" borderId="0" xfId="4" applyFont="1" applyAlignment="1">
      <alignment horizontal="center"/>
    </xf>
    <xf numFmtId="0" fontId="8" fillId="0" borderId="0" xfId="4" applyFont="1" applyAlignment="1">
      <alignment horizontal="center"/>
    </xf>
    <xf numFmtId="164" fontId="6" fillId="4" borderId="1" xfId="4" applyNumberFormat="1" applyFont="1" applyFill="1" applyBorder="1"/>
    <xf numFmtId="164" fontId="5" fillId="5" borderId="1" xfId="4" applyNumberFormat="1" applyFont="1" applyFill="1" applyBorder="1"/>
    <xf numFmtId="0" fontId="8" fillId="0" borderId="0" xfId="4" applyFont="1"/>
    <xf numFmtId="0" fontId="1" fillId="6" borderId="1" xfId="4" applyFill="1" applyBorder="1"/>
    <xf numFmtId="0" fontId="1" fillId="0" borderId="1" xfId="4" applyBorder="1"/>
    <xf numFmtId="0" fontId="8" fillId="5" borderId="0" xfId="4" applyFont="1" applyFill="1"/>
    <xf numFmtId="0" fontId="11" fillId="0" borderId="0" xfId="4" applyFont="1"/>
    <xf numFmtId="0" fontId="8" fillId="6" borderId="1" xfId="4" applyFont="1" applyFill="1" applyBorder="1" applyAlignment="1">
      <alignment horizontal="center"/>
    </xf>
    <xf numFmtId="0" fontId="8" fillId="7" borderId="1" xfId="4" applyFont="1" applyFill="1" applyBorder="1" applyAlignment="1">
      <alignment horizontal="center"/>
    </xf>
    <xf numFmtId="164" fontId="1" fillId="0" borderId="1" xfId="4" applyNumberFormat="1" applyBorder="1"/>
    <xf numFmtId="0" fontId="2" fillId="0" borderId="0" xfId="5" applyFont="1" applyAlignment="1">
      <alignment horizontal="left" vertical="center" wrapText="1"/>
    </xf>
    <xf numFmtId="0" fontId="1" fillId="0" borderId="0" xfId="5"/>
    <xf numFmtId="0" fontId="1" fillId="0" borderId="0" xfId="5"/>
    <xf numFmtId="0" fontId="6" fillId="0" borderId="0" xfId="5" applyFont="1"/>
    <xf numFmtId="0" fontId="9" fillId="0" borderId="0" xfId="5" applyFont="1" applyAlignment="1">
      <alignment horizontal="left"/>
    </xf>
    <xf numFmtId="0" fontId="7" fillId="0" borderId="0" xfId="5" applyFont="1"/>
    <xf numFmtId="0" fontId="6" fillId="2" borderId="1" xfId="5" applyFont="1" applyFill="1" applyBorder="1"/>
    <xf numFmtId="0" fontId="6" fillId="3" borderId="1" xfId="5" applyFont="1" applyFill="1" applyBorder="1"/>
    <xf numFmtId="0" fontId="9" fillId="0" borderId="1" xfId="5" applyFont="1" applyBorder="1" applyAlignment="1">
      <alignment horizontal="left"/>
    </xf>
    <xf numFmtId="0" fontId="6" fillId="0" borderId="1" xfId="5" applyFont="1" applyBorder="1"/>
    <xf numFmtId="0" fontId="6" fillId="0" borderId="1" xfId="5" applyFont="1" applyBorder="1" applyAlignment="1">
      <alignment horizontal="center"/>
    </xf>
    <xf numFmtId="0" fontId="7" fillId="0" borderId="0" xfId="5" applyFont="1" applyAlignment="1">
      <alignment horizontal="left"/>
    </xf>
    <xf numFmtId="0" fontId="7" fillId="0" borderId="0" xfId="5" applyFont="1" applyAlignment="1">
      <alignment horizontal="center"/>
    </xf>
    <xf numFmtId="0" fontId="8" fillId="0" borderId="0" xfId="5" applyFont="1" applyAlignment="1">
      <alignment horizontal="center"/>
    </xf>
    <xf numFmtId="164" fontId="6" fillId="4" borderId="1" xfId="5" applyNumberFormat="1" applyFont="1" applyFill="1" applyBorder="1"/>
    <xf numFmtId="164" fontId="5" fillId="5" borderId="1" xfId="5" applyNumberFormat="1" applyFont="1" applyFill="1" applyBorder="1"/>
    <xf numFmtId="0" fontId="8" fillId="0" borderId="0" xfId="5" applyFont="1"/>
    <xf numFmtId="0" fontId="1" fillId="6" borderId="1" xfId="5" applyFill="1" applyBorder="1"/>
    <xf numFmtId="0" fontId="1" fillId="0" borderId="1" xfId="5" applyBorder="1"/>
    <xf numFmtId="0" fontId="8" fillId="5" borderId="0" xfId="5" applyFont="1" applyFill="1"/>
    <xf numFmtId="0" fontId="11" fillId="0" borderId="0" xfId="5" applyFont="1"/>
    <xf numFmtId="0" fontId="1" fillId="7" borderId="1" xfId="5" applyFill="1" applyBorder="1"/>
    <xf numFmtId="164" fontId="1" fillId="0" borderId="1" xfId="5" applyNumberFormat="1" applyBorder="1"/>
  </cellXfs>
  <cellStyles count="6">
    <cellStyle name="Normal" xfId="0" builtinId="0"/>
    <cellStyle name="Normal 2" xfId="1" xr:uid="{93D54001-BB8A-47DE-A9AC-C42E73ADB670}"/>
    <cellStyle name="Normal 3" xfId="2" xr:uid="{39CF9672-8677-4F3C-826E-14E42EDE8D5A}"/>
    <cellStyle name="Normal 4" xfId="3" xr:uid="{CBA5A35B-1ECD-4191-8773-29C67CD02A48}"/>
    <cellStyle name="Normal 5" xfId="4" xr:uid="{4C53F26C-A09F-48A6-98CA-C21478D06FBA}"/>
    <cellStyle name="Normal 6" xfId="5" xr:uid="{BD180BE4-EE41-4A32-8B11-967E9DB965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3000" y="349919"/>
    <xdr:ext cx="1133280" cy="64908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5CDFEB1F-F83D-4033-A6FE-EB0C554F7897}"/>
                </a:ext>
              </a:extLst>
            </xdr:cNvPr>
            <xdr:cNvSpPr txBox="1">
              <a:spLocks noResize="1"/>
            </xdr:cNvSpPr>
          </xdr:nvSpPr>
          <xdr:spPr>
            <a:xfrm>
              <a:off x="63000" y="349919"/>
              <a:ext cx="1133280" cy="64908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pt-BR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plcHide m:val="on"/>
                            <m:mcs>
                              <m:mc>
                                <m:mcPr>
                                  <m:count m:val="1"/>
                                  <m:mcJc m:val="center"/>
                                </m:mcPr>
                              </m:mc>
                            </m:mcs>
                            <m:ctrlPr>
                              <a:rPr lang="pt-BR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mPr>
                          <m:mr>
                            <m:e>
                              <m:r>
                                <a:rPr lang="pt-BR">
                                  <a:latin typeface="Cambria Math" panose="02040503050406030204" pitchFamily="18" charset="0"/>
                                </a:rPr>
                                <m:t>6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=7</m:t>
                              </m:r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+8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=16</m:t>
                              </m:r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+5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=18</m:t>
                              </m:r>
                            </m:e>
                          </m:mr>
                        </m:m>
                      </m:e>
                    </m:d>
                  </m:oMath>
                </m:oMathPara>
              </a14:m>
              <a:endParaRPr lang="pt-BR">
                <a:latin typeface="Liberation Serif" pitchFamily="18"/>
              </a:endParaRPr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5CDFEB1F-F83D-4033-A6FE-EB0C554F7897}"/>
                </a:ext>
              </a:extLst>
            </xdr:cNvPr>
            <xdr:cNvSpPr txBox="1">
              <a:spLocks noResize="1"/>
            </xdr:cNvSpPr>
          </xdr:nvSpPr>
          <xdr:spPr>
            <a:xfrm>
              <a:off x="63000" y="349919"/>
              <a:ext cx="1133280" cy="64908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{■(</a:t>
              </a:r>
              <a:r>
                <a:rPr lang="pt-BR" i="0">
                  <a:latin typeface="Cambria Math" panose="02040503050406030204" pitchFamily="18" charset="0"/>
                </a:rPr>
                <a:t>6𝑥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1−𝑥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3=7@𝑥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1+8𝑥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2−𝑥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3=16@𝑥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2+5𝑥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3=18)┤</a:t>
              </a:r>
              <a:endParaRPr lang="pt-BR">
                <a:latin typeface="Liberation Serif" pitchFamily="18"/>
              </a:endParaRPr>
            </a:p>
          </xdr:txBody>
        </xdr:sp>
      </mc:Fallback>
    </mc:AlternateContent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340920"/>
    <xdr:ext cx="1251360" cy="64908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7CB270C8-55F6-497A-94CD-D82870F0C69E}"/>
                </a:ext>
              </a:extLst>
            </xdr:cNvPr>
            <xdr:cNvSpPr txBox="1">
              <a:spLocks noResize="1"/>
            </xdr:cNvSpPr>
          </xdr:nvSpPr>
          <xdr:spPr>
            <a:xfrm>
              <a:off x="0" y="340920"/>
              <a:ext cx="1251360" cy="64908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pt-BR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plcHide m:val="on"/>
                            <m:mcs>
                              <m:mc>
                                <m:mcPr>
                                  <m:count m:val="1"/>
                                  <m:mcJc m:val="center"/>
                                </m:mcPr>
                              </m:mc>
                            </m:mcs>
                            <m:ctrlPr>
                              <a:rPr lang="pt-BR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mPr>
                          <m:mr>
                            <m:e>
                              <m:r>
                                <a:rPr lang="pt-BR">
                                  <a:latin typeface="Cambria Math" panose="02040503050406030204" pitchFamily="18" charset="0"/>
                                </a:rPr>
                                <m:t>10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=12</m:t>
                              </m:r>
                            </m:e>
                          </m:mr>
                          <m:mr>
                            <m:e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+8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−4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=6</m:t>
                              </m:r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+5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+9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=15</m:t>
                              </m:r>
                            </m:e>
                          </m:mr>
                        </m:m>
                      </m:e>
                    </m:d>
                  </m:oMath>
                </m:oMathPara>
              </a14:m>
              <a:endParaRPr lang="pt-BR">
                <a:latin typeface="Liberation Serif" pitchFamily="18"/>
              </a:endParaRPr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7CB270C8-55F6-497A-94CD-D82870F0C69E}"/>
                </a:ext>
              </a:extLst>
            </xdr:cNvPr>
            <xdr:cNvSpPr txBox="1">
              <a:spLocks noResize="1"/>
            </xdr:cNvSpPr>
          </xdr:nvSpPr>
          <xdr:spPr>
            <a:xfrm>
              <a:off x="0" y="340920"/>
              <a:ext cx="1251360" cy="64908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{■(</a:t>
              </a:r>
              <a:r>
                <a:rPr lang="pt-BR" i="0">
                  <a:latin typeface="Cambria Math" panose="02040503050406030204" pitchFamily="18" charset="0"/>
                </a:rPr>
                <a:t>10𝑥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3=12@2𝑥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1+8𝑥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2−4𝑥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3=6@𝑥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1+5𝑥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2+9𝑥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3=15)┤</a:t>
              </a:r>
              <a:endParaRPr lang="pt-BR">
                <a:latin typeface="Liberation Serif" pitchFamily="18"/>
              </a:endParaRPr>
            </a:p>
          </xdr:txBody>
        </xdr:sp>
      </mc:Fallback>
    </mc:AlternateContent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364320"/>
    <xdr:ext cx="1166759" cy="64908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DB7F9C3B-CA10-4053-BC8E-365E8688DC4D}"/>
                </a:ext>
              </a:extLst>
            </xdr:cNvPr>
            <xdr:cNvSpPr txBox="1">
              <a:spLocks noResize="1"/>
            </xdr:cNvSpPr>
          </xdr:nvSpPr>
          <xdr:spPr>
            <a:xfrm>
              <a:off x="0" y="364320"/>
              <a:ext cx="1166759" cy="64908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pt-BR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plcHide m:val="on"/>
                            <m:mcs>
                              <m:mc>
                                <m:mcPr>
                                  <m:count m:val="1"/>
                                  <m:mcJc m:val="center"/>
                                </m:mcPr>
                              </m:mc>
                            </m:mcs>
                            <m:ctrlPr>
                              <a:rPr lang="pt-BR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mPr>
                          <m:mr>
                            <m:e>
                              <m:sSub>
                                <m:sSubPr>
                                  <m:ctrlPr>
                                    <a:rPr lang="pt-BR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−5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=−6</m:t>
                              </m:r>
                            </m:e>
                          </m:mr>
                          <m:mr>
                            <m:e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4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=19</m:t>
                              </m:r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+3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=14</m:t>
                              </m:r>
                            </m:e>
                          </m:mr>
                        </m:m>
                      </m:e>
                    </m:d>
                  </m:oMath>
                </m:oMathPara>
              </a14:m>
              <a:endParaRPr lang="pt-BR">
                <a:latin typeface="Liberation Serif" pitchFamily="18"/>
              </a:endParaRPr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DB7F9C3B-CA10-4053-BC8E-365E8688DC4D}"/>
                </a:ext>
              </a:extLst>
            </xdr:cNvPr>
            <xdr:cNvSpPr txBox="1">
              <a:spLocks noResize="1"/>
            </xdr:cNvSpPr>
          </xdr:nvSpPr>
          <xdr:spPr>
            <a:xfrm>
              <a:off x="0" y="364320"/>
              <a:ext cx="1166759" cy="64908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{■(</a:t>
              </a:r>
              <a:r>
                <a:rPr lang="pt-BR" i="0">
                  <a:latin typeface="Cambria Math" panose="02040503050406030204" pitchFamily="18" charset="0"/>
                </a:rPr>
                <a:t>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2−5𝑥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3=−6@4𝑥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1−𝑥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3=19@𝑥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1+3𝑥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2−𝑥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3=14)┤</a:t>
              </a:r>
              <a:endParaRPr lang="pt-BR">
                <a:latin typeface="Liberation Serif" pitchFamily="18"/>
              </a:endParaRPr>
            </a:p>
          </xdr:txBody>
        </xdr:sp>
      </mc:Fallback>
    </mc:AlternateContent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7560" y="336600"/>
    <xdr:ext cx="1133280" cy="64908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23647191-84AA-4BC6-AB15-9D01054F2798}"/>
                </a:ext>
              </a:extLst>
            </xdr:cNvPr>
            <xdr:cNvSpPr txBox="1">
              <a:spLocks noResize="1"/>
            </xdr:cNvSpPr>
          </xdr:nvSpPr>
          <xdr:spPr>
            <a:xfrm>
              <a:off x="7560" y="336600"/>
              <a:ext cx="1133280" cy="64908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pt-BR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plcHide m:val="on"/>
                            <m:mcs>
                              <m:mc>
                                <m:mcPr>
                                  <m:count m:val="1"/>
                                  <m:mcJc m:val="center"/>
                                </m:mcPr>
                              </m:mc>
                            </m:mcs>
                            <m:ctrlPr>
                              <a:rPr lang="pt-BR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mPr>
                          <m:mr>
                            <m:e>
                              <m:sSub>
                                <m:sSubPr>
                                  <m:ctrlPr>
                                    <a:rPr lang="pt-BR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+8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=16</m:t>
                              </m:r>
                            </m:e>
                          </m:mr>
                          <m:mr>
                            <m:e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6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=7</m:t>
                              </m:r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+5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=18</m:t>
                              </m:r>
                            </m:e>
                          </m:mr>
                        </m:m>
                      </m:e>
                    </m:d>
                  </m:oMath>
                </m:oMathPara>
              </a14:m>
              <a:endParaRPr lang="pt-BR">
                <a:latin typeface="Liberation Serif" pitchFamily="18"/>
              </a:endParaRPr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23647191-84AA-4BC6-AB15-9D01054F2798}"/>
                </a:ext>
              </a:extLst>
            </xdr:cNvPr>
            <xdr:cNvSpPr txBox="1">
              <a:spLocks noResize="1"/>
            </xdr:cNvSpPr>
          </xdr:nvSpPr>
          <xdr:spPr>
            <a:xfrm>
              <a:off x="7560" y="336600"/>
              <a:ext cx="1133280" cy="64908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{■(</a:t>
              </a:r>
              <a:r>
                <a:rPr lang="pt-BR" i="0">
                  <a:latin typeface="Cambria Math" panose="02040503050406030204" pitchFamily="18" charset="0"/>
                </a:rPr>
                <a:t>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1+8𝑥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2−𝑥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3=16@6𝑥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1−𝑥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3=7@𝑥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2+5𝑥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3=18)┤</a:t>
              </a:r>
              <a:endParaRPr lang="pt-BR">
                <a:latin typeface="Liberation Serif" pitchFamily="18"/>
              </a:endParaRPr>
            </a:p>
          </xdr:txBody>
        </xdr:sp>
      </mc:Fallback>
    </mc:AlternateContent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335160"/>
    <xdr:ext cx="1220040" cy="64908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B939169B-3A48-4E71-8A41-3F946545B273}"/>
                </a:ext>
              </a:extLst>
            </xdr:cNvPr>
            <xdr:cNvSpPr txBox="1">
              <a:spLocks noResize="1"/>
            </xdr:cNvSpPr>
          </xdr:nvSpPr>
          <xdr:spPr>
            <a:xfrm>
              <a:off x="0" y="335160"/>
              <a:ext cx="1220040" cy="64908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pt-BR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plcHide m:val="on"/>
                            <m:mcs>
                              <m:mc>
                                <m:mcPr>
                                  <m:count m:val="1"/>
                                  <m:mcJc m:val="center"/>
                                </m:mcPr>
                              </m:mc>
                            </m:mcs>
                            <m:ctrlPr>
                              <a:rPr lang="pt-BR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mPr>
                          <m:mr>
                            <m:e>
                              <m:r>
                                <a:rPr lang="pt-BR">
                                  <a:latin typeface="Cambria Math" panose="02040503050406030204" pitchFamily="18" charset="0"/>
                                </a:rPr>
                                <m:t>7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=13</m:t>
                              </m:r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+8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+1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=30</m:t>
                              </m:r>
                            </m:e>
                          </m:mr>
                          <m:mr>
                            <m:e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+5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=21</m:t>
                              </m:r>
                            </m:e>
                          </m:mr>
                        </m:m>
                      </m:e>
                    </m:d>
                  </m:oMath>
                </m:oMathPara>
              </a14:m>
              <a:endParaRPr lang="pt-BR">
                <a:latin typeface="Liberation Serif" pitchFamily="18"/>
              </a:endParaRPr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B939169B-3A48-4E71-8A41-3F946545B273}"/>
                </a:ext>
              </a:extLst>
            </xdr:cNvPr>
            <xdr:cNvSpPr txBox="1">
              <a:spLocks noResize="1"/>
            </xdr:cNvSpPr>
          </xdr:nvSpPr>
          <xdr:spPr>
            <a:xfrm>
              <a:off x="0" y="335160"/>
              <a:ext cx="1220040" cy="64908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{■(</a:t>
              </a:r>
              <a:r>
                <a:rPr lang="pt-BR" i="0">
                  <a:latin typeface="Cambria Math" panose="02040503050406030204" pitchFamily="18" charset="0"/>
                </a:rPr>
                <a:t>7𝑥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2−𝑥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3=13@𝑥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1+8𝑥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2+1𝑥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3=30@2𝑥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1−𝑥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2+5𝑥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3=21)┤</a:t>
              </a:r>
              <a:endParaRPr lang="pt-BR">
                <a:latin typeface="Liberation Serif" pitchFamily="18"/>
              </a:endParaRPr>
            </a:p>
          </xdr:txBody>
        </xdr:sp>
      </mc:Fallback>
    </mc:AlternateContent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4BF9F-0AD5-43A8-B041-A447183E92D3}">
  <dimension ref="A1:L40"/>
  <sheetViews>
    <sheetView topLeftCell="A9" workbookViewId="0">
      <selection activeCell="M34" sqref="M34"/>
    </sheetView>
  </sheetViews>
  <sheetFormatPr defaultRowHeight="13.8"/>
  <cols>
    <col min="1" max="1" width="7.33203125" style="2" customWidth="1"/>
    <col min="2" max="3" width="8.109375" style="2" customWidth="1"/>
    <col min="4" max="4" width="6.88671875" style="2" customWidth="1"/>
    <col min="5" max="5" width="7.88671875" style="2" customWidth="1"/>
    <col min="6" max="6" width="8.109375" style="2" customWidth="1"/>
    <col min="7" max="7" width="7.88671875" style="2" customWidth="1"/>
    <col min="8" max="8" width="10.109375" style="2" customWidth="1"/>
    <col min="9" max="9" width="8.109375" style="2" customWidth="1"/>
    <col min="10" max="10" width="10.33203125" style="2" customWidth="1"/>
    <col min="11" max="11" width="10" style="2" customWidth="1"/>
    <col min="12" max="12" width="11.88671875" style="2" customWidth="1"/>
    <col min="13" max="16384" width="8.88671875" style="2"/>
  </cols>
  <sheetData>
    <row r="1" spans="1:12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2" ht="52.35" customHeight="1">
      <c r="A2" s="3"/>
      <c r="B2" s="3"/>
      <c r="C2" s="3"/>
      <c r="D2" s="4"/>
      <c r="E2" s="4"/>
      <c r="F2" s="4"/>
      <c r="G2" s="4"/>
      <c r="H2" s="4"/>
      <c r="I2" s="4"/>
      <c r="J2" s="4"/>
    </row>
    <row r="3" spans="1:12" ht="15.6">
      <c r="F3" s="4"/>
      <c r="G3" s="5" t="s">
        <v>1</v>
      </c>
      <c r="H3" s="4"/>
      <c r="J3" s="5" t="s">
        <v>1</v>
      </c>
      <c r="K3" s="4"/>
    </row>
    <row r="4" spans="1:12" ht="15.6">
      <c r="A4" s="6" t="s">
        <v>2</v>
      </c>
      <c r="F4" s="4"/>
      <c r="G4" s="7" t="s">
        <v>3</v>
      </c>
      <c r="H4" s="7" t="s">
        <v>3</v>
      </c>
      <c r="I4" s="8"/>
      <c r="J4" s="7" t="s">
        <v>4</v>
      </c>
      <c r="K4" s="7" t="s">
        <v>4</v>
      </c>
    </row>
    <row r="5" spans="1:12" ht="15.6">
      <c r="A5" s="4"/>
      <c r="B5" s="4"/>
      <c r="C5" s="9" t="s">
        <v>5</v>
      </c>
      <c r="D5" s="9"/>
      <c r="E5" s="9" t="s">
        <v>6</v>
      </c>
      <c r="F5" s="4"/>
      <c r="G5" s="7" t="s">
        <v>7</v>
      </c>
      <c r="H5" s="7" t="s">
        <v>8</v>
      </c>
      <c r="J5" s="7" t="s">
        <v>7</v>
      </c>
      <c r="K5" s="7" t="s">
        <v>9</v>
      </c>
    </row>
    <row r="6" spans="1:12" ht="15">
      <c r="A6" s="4"/>
      <c r="B6" s="10">
        <v>6</v>
      </c>
      <c r="C6" s="10">
        <v>-1</v>
      </c>
      <c r="D6" s="10">
        <v>1</v>
      </c>
      <c r="E6" s="11">
        <v>7</v>
      </c>
      <c r="F6" s="4"/>
      <c r="G6" s="12">
        <f>B33</f>
        <v>1.0501302083333333</v>
      </c>
      <c r="H6" s="13">
        <f t="array" ref="H6:H8">MMULT(B6:D8,G6:G8)</f>
        <v>7.0073333333333334</v>
      </c>
      <c r="J6" s="12">
        <f>B40</f>
        <v>1.0492268518518517</v>
      </c>
      <c r="K6" s="13">
        <f t="array" ref="K6:K8">MMULT(B6:D8,J6:J8)</f>
        <v>7.0016518518518511</v>
      </c>
      <c r="L6" s="14"/>
    </row>
    <row r="7" spans="1:12" ht="15.6">
      <c r="A7" s="9"/>
      <c r="B7" s="10">
        <v>1</v>
      </c>
      <c r="C7" s="10">
        <v>8</v>
      </c>
      <c r="D7" s="10">
        <v>-1</v>
      </c>
      <c r="E7" s="11">
        <v>16</v>
      </c>
      <c r="F7" s="4"/>
      <c r="G7" s="12">
        <f>C33</f>
        <v>2.2359027777777776</v>
      </c>
      <c r="H7" s="13">
        <v>15.994897569444442</v>
      </c>
      <c r="J7" s="12">
        <f>C40</f>
        <v>2.2365532407407409</v>
      </c>
      <c r="K7" s="13">
        <v>15.998808796296299</v>
      </c>
      <c r="L7" s="14"/>
    </row>
    <row r="8" spans="1:12" ht="15">
      <c r="A8" s="4"/>
      <c r="B8" s="10">
        <v>1</v>
      </c>
      <c r="C8" s="10">
        <v>1</v>
      </c>
      <c r="D8" s="10">
        <v>5</v>
      </c>
      <c r="E8" s="11">
        <v>18</v>
      </c>
      <c r="F8" s="4"/>
      <c r="G8" s="12">
        <f>D33</f>
        <v>2.9424548611111114</v>
      </c>
      <c r="H8" s="13">
        <v>17.998307291666666</v>
      </c>
      <c r="J8" s="12">
        <f>D40</f>
        <v>2.9428439814814817</v>
      </c>
      <c r="K8" s="13">
        <v>18</v>
      </c>
      <c r="L8" s="14"/>
    </row>
    <row r="9" spans="1:12" ht="15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2" ht="15.6">
      <c r="A10" s="15" t="s">
        <v>10</v>
      </c>
      <c r="B10" s="4"/>
      <c r="C10" s="4"/>
      <c r="D10" s="4"/>
      <c r="E10" s="4"/>
      <c r="F10" s="4"/>
      <c r="G10" s="4"/>
      <c r="H10" s="4"/>
      <c r="I10" s="4"/>
      <c r="J10" s="4"/>
    </row>
    <row r="11" spans="1:12" ht="15.6">
      <c r="A11" s="15"/>
      <c r="B11" s="4"/>
      <c r="C11" s="4" t="s">
        <v>11</v>
      </c>
      <c r="D11" s="4"/>
      <c r="E11" s="4"/>
      <c r="F11" s="4"/>
      <c r="G11" s="4"/>
      <c r="H11" s="4"/>
      <c r="I11" s="4"/>
      <c r="J11" s="4"/>
    </row>
    <row r="12" spans="1:12" ht="15.6">
      <c r="A12" s="16" t="s">
        <v>12</v>
      </c>
      <c r="B12" s="17">
        <f>ABS(B6)</f>
        <v>6</v>
      </c>
      <c r="C12" s="17">
        <f>ABS(C6)+ABS(D6)</f>
        <v>2</v>
      </c>
      <c r="D12" s="18" t="str">
        <f>IF(B12&gt;C12, "ok", "Fail")</f>
        <v>ok</v>
      </c>
      <c r="E12" s="4"/>
      <c r="F12" s="4"/>
      <c r="G12" s="4"/>
      <c r="H12" s="4"/>
      <c r="I12" s="4"/>
      <c r="J12" s="4"/>
    </row>
    <row r="13" spans="1:12" ht="15.6">
      <c r="A13" s="16" t="s">
        <v>13</v>
      </c>
      <c r="B13" s="17">
        <f>ABS(C7)</f>
        <v>8</v>
      </c>
      <c r="C13" s="17">
        <f>ABS(B7)+ABS(D7)</f>
        <v>2</v>
      </c>
      <c r="D13" s="18" t="str">
        <f>IF(B13&gt;C13, "ok", "Fail")</f>
        <v>ok</v>
      </c>
      <c r="E13" s="4"/>
      <c r="F13" s="4"/>
      <c r="G13" s="4"/>
      <c r="H13" s="4"/>
      <c r="I13" s="4"/>
      <c r="J13" s="4"/>
    </row>
    <row r="14" spans="1:12" ht="15.6">
      <c r="A14" s="16" t="s">
        <v>14</v>
      </c>
      <c r="B14" s="17">
        <f>ABS(D8)</f>
        <v>5</v>
      </c>
      <c r="C14" s="17">
        <f>ABS(B8)+ABS(C8)</f>
        <v>2</v>
      </c>
      <c r="D14" s="18" t="str">
        <f>IF(B14&gt;C14, "ok", "Fail")</f>
        <v>ok</v>
      </c>
      <c r="E14" s="4"/>
      <c r="F14" s="4"/>
      <c r="G14" s="4"/>
      <c r="H14" s="4"/>
      <c r="I14" s="4"/>
      <c r="J14" s="4"/>
    </row>
    <row r="15" spans="1:12" ht="1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2" ht="15.6">
      <c r="A16" s="9" t="s">
        <v>15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ht="15">
      <c r="A17" s="4" t="s">
        <v>16</v>
      </c>
      <c r="B17" s="4" t="s">
        <v>17</v>
      </c>
      <c r="C17" s="4"/>
      <c r="D17" s="4"/>
      <c r="E17" s="4"/>
      <c r="F17" s="4"/>
      <c r="G17" s="4"/>
      <c r="H17" s="4"/>
      <c r="I17" s="4"/>
      <c r="J17" s="4"/>
    </row>
    <row r="18" spans="1:10" ht="15">
      <c r="A18" s="4" t="s">
        <v>18</v>
      </c>
      <c r="B18" s="4" t="s">
        <v>19</v>
      </c>
      <c r="C18" s="4"/>
      <c r="D18" s="4"/>
      <c r="E18" s="4"/>
      <c r="F18" s="4"/>
      <c r="G18" s="4"/>
      <c r="H18" s="4"/>
      <c r="I18" s="4"/>
      <c r="J18" s="4"/>
    </row>
    <row r="19" spans="1:10" ht="15">
      <c r="A19" s="4" t="s">
        <v>20</v>
      </c>
      <c r="B19" s="4" t="s">
        <v>21</v>
      </c>
      <c r="C19" s="4"/>
      <c r="D19" s="4"/>
      <c r="E19" s="4"/>
      <c r="F19" s="4"/>
      <c r="G19" s="4"/>
      <c r="H19" s="4"/>
      <c r="I19" s="4"/>
      <c r="J19" s="4"/>
    </row>
    <row r="20" spans="1:10" ht="1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19" t="s">
        <v>22</v>
      </c>
    </row>
    <row r="22" spans="1:10" ht="15">
      <c r="A22" s="4"/>
      <c r="B22" s="20" t="s">
        <v>23</v>
      </c>
      <c r="C22" s="20" t="s">
        <v>24</v>
      </c>
      <c r="D22" s="20" t="s">
        <v>25</v>
      </c>
    </row>
    <row r="23" spans="1:10" ht="15">
      <c r="A23" s="4"/>
      <c r="B23" s="21">
        <v>0</v>
      </c>
      <c r="C23" s="21">
        <v>0</v>
      </c>
      <c r="D23" s="21">
        <v>0</v>
      </c>
    </row>
    <row r="24" spans="1:10" ht="15">
      <c r="A24" s="4"/>
    </row>
    <row r="25" spans="1:10">
      <c r="A25" s="19" t="s">
        <v>26</v>
      </c>
      <c r="D25" s="22" t="s">
        <v>27</v>
      </c>
      <c r="E25" s="22">
        <v>0.01</v>
      </c>
    </row>
    <row r="26" spans="1:10">
      <c r="A26" s="19"/>
    </row>
    <row r="27" spans="1:10">
      <c r="A27" s="21" t="s">
        <v>28</v>
      </c>
      <c r="B27" s="23" t="s">
        <v>23</v>
      </c>
      <c r="C27" s="23" t="s">
        <v>24</v>
      </c>
      <c r="D27" s="23" t="s">
        <v>25</v>
      </c>
      <c r="E27" s="24" t="s">
        <v>29</v>
      </c>
      <c r="F27" s="24" t="s">
        <v>30</v>
      </c>
      <c r="G27" s="24" t="s">
        <v>31</v>
      </c>
      <c r="H27" s="21"/>
    </row>
    <row r="28" spans="1:10">
      <c r="A28" s="25">
        <v>0</v>
      </c>
      <c r="B28" s="26">
        <f>B23</f>
        <v>0</v>
      </c>
      <c r="C28" s="26">
        <f>C23</f>
        <v>0</v>
      </c>
      <c r="D28" s="26">
        <f>D23</f>
        <v>0</v>
      </c>
      <c r="E28" s="26"/>
      <c r="F28" s="26"/>
      <c r="G28" s="26"/>
      <c r="H28" s="21"/>
    </row>
    <row r="29" spans="1:10">
      <c r="A29" s="21">
        <v>1</v>
      </c>
      <c r="B29" s="26">
        <f>1/$B$6 * ($E$6+C28-D28)</f>
        <v>1.1666666666666665</v>
      </c>
      <c r="C29" s="26">
        <f>1/$C$7*($E$7-B28+D28)</f>
        <v>2</v>
      </c>
      <c r="D29" s="26">
        <f>1/$D$8*($E$8-B28-C28)</f>
        <v>3.6</v>
      </c>
      <c r="E29" s="26">
        <f t="shared" ref="E29:G33" si="0">ABS(B29-B28)</f>
        <v>1.1666666666666665</v>
      </c>
      <c r="F29" s="26">
        <f t="shared" si="0"/>
        <v>2</v>
      </c>
      <c r="G29" s="26">
        <f t="shared" si="0"/>
        <v>3.6</v>
      </c>
      <c r="H29" s="21" t="str">
        <f>IF(AND(E29&lt;$E$25,F29&lt;$E$25,G29&lt;$E$25),"Fim!!","")</f>
        <v/>
      </c>
    </row>
    <row r="30" spans="1:10">
      <c r="A30" s="21">
        <v>2</v>
      </c>
      <c r="B30" s="26">
        <f>1/$B$6 * ($E$6+C29-D29)</f>
        <v>0.9</v>
      </c>
      <c r="C30" s="26">
        <f>1/$C$7*($E$7-B29+D29)</f>
        <v>2.3041666666666667</v>
      </c>
      <c r="D30" s="26">
        <f>1/$D$8*($E$8-B29-C29)</f>
        <v>2.9666666666666668</v>
      </c>
      <c r="E30" s="26">
        <f t="shared" si="0"/>
        <v>0.2666666666666665</v>
      </c>
      <c r="F30" s="26">
        <f t="shared" si="0"/>
        <v>0.3041666666666667</v>
      </c>
      <c r="G30" s="26">
        <f t="shared" si="0"/>
        <v>0.6333333333333333</v>
      </c>
      <c r="H30" s="21" t="str">
        <f>IF(AND(E30&lt;$E$25,F30&lt;$E$25,G30&lt;$E$25),"Fim!!","")</f>
        <v/>
      </c>
    </row>
    <row r="31" spans="1:10">
      <c r="A31" s="21">
        <v>3</v>
      </c>
      <c r="B31" s="26">
        <f>1/$B$6 * ($E$6+C30-D30)</f>
        <v>1.0562499999999999</v>
      </c>
      <c r="C31" s="26">
        <f>1/$C$7*($E$7-B30+D30)</f>
        <v>2.2583333333333333</v>
      </c>
      <c r="D31" s="26">
        <f>1/$D$8*($E$8-B30-C30)</f>
        <v>2.9591666666666669</v>
      </c>
      <c r="E31" s="26">
        <f t="shared" si="0"/>
        <v>0.15624999999999989</v>
      </c>
      <c r="F31" s="26">
        <f t="shared" si="0"/>
        <v>4.5833333333333393E-2</v>
      </c>
      <c r="G31" s="26">
        <f t="shared" si="0"/>
        <v>7.4999999999998401E-3</v>
      </c>
      <c r="H31" s="21" t="str">
        <f>IF(AND(E31&lt;$E$25,F31&lt;$E$25,G31&lt;$E$25),"Fim!!","")</f>
        <v/>
      </c>
    </row>
    <row r="32" spans="1:10">
      <c r="A32" s="21">
        <v>4</v>
      </c>
      <c r="B32" s="26">
        <f>1/$B$6 * ($E$6+C31-D31)</f>
        <v>1.0498611111111109</v>
      </c>
      <c r="C32" s="26">
        <f>1/$C$7*($E$7-B31+D31)</f>
        <v>2.2378645833333333</v>
      </c>
      <c r="D32" s="26">
        <f>1/$D$8*($E$8-B31-C31)</f>
        <v>2.9370833333333337</v>
      </c>
      <c r="E32" s="26">
        <f t="shared" si="0"/>
        <v>6.3888888888889994E-3</v>
      </c>
      <c r="F32" s="26">
        <f t="shared" si="0"/>
        <v>2.0468750000000036E-2</v>
      </c>
      <c r="G32" s="26">
        <f t="shared" si="0"/>
        <v>2.2083333333333233E-2</v>
      </c>
      <c r="H32" s="21" t="str">
        <f>IF(AND(E32&lt;$E$25,F32&lt;$E$25,G32&lt;$E$25),"Fim!!","")</f>
        <v/>
      </c>
    </row>
    <row r="33" spans="1:10">
      <c r="A33" s="21">
        <v>5</v>
      </c>
      <c r="B33" s="27">
        <f>1/$B$6 * ($E$6+C32-D32)</f>
        <v>1.0501302083333333</v>
      </c>
      <c r="C33" s="27">
        <f>1/$C$7*($E$7-B32+D32)</f>
        <v>2.2359027777777776</v>
      </c>
      <c r="D33" s="27">
        <f>1/$D$8*($E$8-B32-C32)</f>
        <v>2.9424548611111114</v>
      </c>
      <c r="E33" s="26">
        <f t="shared" si="0"/>
        <v>2.6909722222234755E-4</v>
      </c>
      <c r="F33" s="26">
        <f t="shared" si="0"/>
        <v>1.9618055555556957E-3</v>
      </c>
      <c r="G33" s="26">
        <f t="shared" si="0"/>
        <v>5.3715277777777182E-3</v>
      </c>
      <c r="H33" s="21" t="str">
        <f>IF(AND(E33&lt;$E$25,F33&lt;$E$25,G33&lt;$E$25),"Fim!!","")</f>
        <v>Fim!!</v>
      </c>
    </row>
    <row r="35" spans="1:10" ht="15">
      <c r="A35" s="1" t="s">
        <v>32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21" t="s">
        <v>28</v>
      </c>
      <c r="B36" s="23" t="s">
        <v>23</v>
      </c>
      <c r="C36" s="23" t="s">
        <v>24</v>
      </c>
      <c r="D36" s="23" t="s">
        <v>25</v>
      </c>
      <c r="E36" s="24" t="s">
        <v>29</v>
      </c>
      <c r="F36" s="24" t="s">
        <v>30</v>
      </c>
      <c r="G36" s="24" t="s">
        <v>31</v>
      </c>
      <c r="H36" s="21"/>
    </row>
    <row r="37" spans="1:10">
      <c r="A37" s="21">
        <v>0</v>
      </c>
      <c r="B37" s="26">
        <f>B23</f>
        <v>0</v>
      </c>
      <c r="C37" s="26">
        <f>1/$C$7*($E$7-B37+D23)</f>
        <v>2</v>
      </c>
      <c r="D37" s="26">
        <f>1/$D$8*($E$8-B37-C37)</f>
        <v>3.2</v>
      </c>
      <c r="E37" s="26"/>
      <c r="F37" s="26"/>
      <c r="G37" s="26"/>
      <c r="H37" s="21"/>
    </row>
    <row r="38" spans="1:10">
      <c r="A38" s="21">
        <v>1</v>
      </c>
      <c r="B38" s="26">
        <f>1/$B$6 * ($E$6+C37-D37)</f>
        <v>0.96666666666666656</v>
      </c>
      <c r="C38" s="26">
        <f>1/$C$7*($E$7-B38+D37)</f>
        <v>2.2791666666666668</v>
      </c>
      <c r="D38" s="26">
        <f>1/$D$8*($E$8-B38-C38)</f>
        <v>2.9508333333333336</v>
      </c>
      <c r="E38" s="26">
        <f t="shared" ref="E38:G40" si="1">ABS(B38-B37)</f>
        <v>0.96666666666666656</v>
      </c>
      <c r="F38" s="26">
        <f t="shared" si="1"/>
        <v>0.27916666666666679</v>
      </c>
      <c r="G38" s="26">
        <f t="shared" si="1"/>
        <v>0.24916666666666654</v>
      </c>
      <c r="H38" s="21" t="str">
        <f>IF(AND(E38&lt;$E$25,F38&lt;$E$25,G38&lt;$E$25),"Fim!!","")</f>
        <v/>
      </c>
    </row>
    <row r="39" spans="1:10">
      <c r="A39" s="21">
        <v>2</v>
      </c>
      <c r="B39" s="26">
        <f>1/$B$6 * ($E$6+C38-D38)</f>
        <v>1.0547222222222221</v>
      </c>
      <c r="C39" s="26">
        <f>1/$C$7*($E$7-B39+D38)</f>
        <v>2.2370138888888889</v>
      </c>
      <c r="D39" s="26">
        <f>1/$D$8*($E$8-B39-C39)</f>
        <v>2.9416527777777781</v>
      </c>
      <c r="E39" s="26">
        <f t="shared" si="1"/>
        <v>8.8055555555555554E-2</v>
      </c>
      <c r="F39" s="26">
        <f t="shared" si="1"/>
        <v>4.2152777777777928E-2</v>
      </c>
      <c r="G39" s="26">
        <f t="shared" si="1"/>
        <v>9.1805555555555252E-3</v>
      </c>
      <c r="H39" s="21" t="str">
        <f>IF(AND(E39&lt;$E$25,F39&lt;$E$25,G39&lt;$E$25),"Fim!!","")</f>
        <v/>
      </c>
    </row>
    <row r="40" spans="1:10">
      <c r="A40" s="21">
        <v>3</v>
      </c>
      <c r="B40" s="27">
        <f>1/$B$6 * ($E$6+C39-D39)</f>
        <v>1.0492268518518517</v>
      </c>
      <c r="C40" s="27">
        <f>1/$C$7*($E$7-B40+D39)</f>
        <v>2.2365532407407409</v>
      </c>
      <c r="D40" s="27">
        <f>1/$D$8*($E$8-B40-C40)</f>
        <v>2.9428439814814817</v>
      </c>
      <c r="E40" s="26">
        <f t="shared" si="1"/>
        <v>5.4953703703704004E-3</v>
      </c>
      <c r="F40" s="26">
        <f t="shared" si="1"/>
        <v>4.606481481479463E-4</v>
      </c>
      <c r="G40" s="26">
        <f t="shared" si="1"/>
        <v>1.1912037037036249E-3</v>
      </c>
      <c r="H40" s="21" t="str">
        <f>IF(AND(E40&lt;$E$25,F40&lt;$E$25,G40&lt;$E$25),"Fim!!","")</f>
        <v>Fim!!</v>
      </c>
    </row>
  </sheetData>
  <mergeCells count="3">
    <mergeCell ref="A1:J1"/>
    <mergeCell ref="A2:C2"/>
    <mergeCell ref="A35:J35"/>
  </mergeCells>
  <pageMargins left="0.62992125984251968" right="0.4" top="0.39370078740157477" bottom="0.39370078740157477" header="0" footer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0BA4-DB97-42F5-94C1-CE4594D11D62}">
  <dimension ref="A1:XFD43"/>
  <sheetViews>
    <sheetView topLeftCell="A16" workbookViewId="0">
      <selection sqref="A1:J1"/>
    </sheetView>
  </sheetViews>
  <sheetFormatPr defaultRowHeight="15"/>
  <cols>
    <col min="1" max="1" width="7.33203125" style="29" customWidth="1"/>
    <col min="2" max="2" width="8.88671875" style="29" customWidth="1"/>
    <col min="3" max="3" width="8.6640625" style="29" customWidth="1"/>
    <col min="4" max="4" width="9.44140625" style="29" customWidth="1"/>
    <col min="5" max="5" width="9.109375" style="29" customWidth="1"/>
    <col min="6" max="6" width="9" style="29" customWidth="1"/>
    <col min="7" max="7" width="9.6640625" style="29" customWidth="1"/>
    <col min="8" max="8" width="10" style="29" customWidth="1"/>
    <col min="9" max="9" width="6.6640625" style="29" customWidth="1"/>
    <col min="10" max="10" width="10.109375" style="29" customWidth="1"/>
    <col min="11" max="11" width="10.44140625" style="29" customWidth="1"/>
    <col min="12" max="1024" width="11.88671875" style="29" customWidth="1"/>
    <col min="1025" max="16384" width="8.88671875" style="49"/>
  </cols>
  <sheetData>
    <row r="1" spans="1:11">
      <c r="A1" s="28" t="s">
        <v>33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ht="52.35" customHeight="1">
      <c r="A2" s="30"/>
      <c r="B2" s="30"/>
      <c r="C2" s="30"/>
    </row>
    <row r="3" spans="1:11" ht="15.6">
      <c r="G3" s="31" t="s">
        <v>1</v>
      </c>
      <c r="J3" s="31" t="s">
        <v>1</v>
      </c>
    </row>
    <row r="4" spans="1:11" ht="15.6">
      <c r="A4" s="31" t="s">
        <v>2</v>
      </c>
      <c r="G4" s="32" t="s">
        <v>3</v>
      </c>
      <c r="H4" s="32" t="s">
        <v>3</v>
      </c>
      <c r="I4" s="32"/>
      <c r="J4" s="32" t="s">
        <v>4</v>
      </c>
      <c r="K4" s="32" t="s">
        <v>4</v>
      </c>
    </row>
    <row r="5" spans="1:11" ht="15.6">
      <c r="C5" s="33" t="s">
        <v>5</v>
      </c>
      <c r="D5" s="33"/>
      <c r="E5" s="33" t="s">
        <v>6</v>
      </c>
      <c r="G5" s="32" t="s">
        <v>7</v>
      </c>
      <c r="H5" s="32" t="s">
        <v>6</v>
      </c>
      <c r="J5" s="32" t="s">
        <v>7</v>
      </c>
      <c r="K5" s="32" t="s">
        <v>6</v>
      </c>
    </row>
    <row r="6" spans="1:11">
      <c r="B6" s="34">
        <v>10</v>
      </c>
      <c r="C6" s="35">
        <v>1</v>
      </c>
      <c r="D6" s="35">
        <v>1</v>
      </c>
      <c r="E6" s="36">
        <v>12</v>
      </c>
      <c r="G6" s="37">
        <f>B33</f>
        <v>0.99750995370370377</v>
      </c>
      <c r="H6" s="38">
        <f t="array" ref="H6:H8">MMULT(B6:D8,G6:G8)</f>
        <v>11.971832127700617</v>
      </c>
      <c r="J6" s="37">
        <f>B43</f>
        <v>0.99960631001371747</v>
      </c>
      <c r="K6" s="38">
        <f t="array" ref="K6:K8">MMULT(B6:D8,J6:J8)</f>
        <v>11.994978128334095</v>
      </c>
    </row>
    <row r="7" spans="1:11" ht="15.6">
      <c r="A7" s="33"/>
      <c r="B7" s="35">
        <v>2</v>
      </c>
      <c r="C7" s="34">
        <v>8</v>
      </c>
      <c r="D7" s="35">
        <v>-4</v>
      </c>
      <c r="E7" s="36">
        <v>6</v>
      </c>
      <c r="G7" s="37">
        <f>C33</f>
        <v>1.0051390335648149</v>
      </c>
      <c r="H7" s="38">
        <v>6.0697579475308654</v>
      </c>
      <c r="J7" s="37">
        <f>C43</f>
        <v>0.99746039094650207</v>
      </c>
      <c r="K7" s="38">
        <v>5.9730771985977764</v>
      </c>
    </row>
    <row r="8" spans="1:11">
      <c r="B8" s="35">
        <v>1</v>
      </c>
      <c r="C8" s="35">
        <v>5</v>
      </c>
      <c r="D8" s="34">
        <v>9</v>
      </c>
      <c r="E8" s="36">
        <v>15</v>
      </c>
      <c r="G8" s="37">
        <f>D33</f>
        <v>0.9915935570987654</v>
      </c>
      <c r="H8" s="38">
        <v>14.947547135416666</v>
      </c>
      <c r="J8" s="37">
        <f>D43</f>
        <v>1.0014546372504189</v>
      </c>
      <c r="K8" s="38">
        <v>14.999999999999998</v>
      </c>
    </row>
    <row r="9" spans="1:11" ht="15.75" customHeight="1"/>
    <row r="10" spans="1:11" ht="15.6">
      <c r="A10" s="31" t="s">
        <v>10</v>
      </c>
    </row>
    <row r="11" spans="1:11" ht="15.6">
      <c r="A11" s="31"/>
      <c r="C11" s="29" t="s">
        <v>11</v>
      </c>
    </row>
    <row r="12" spans="1:11" ht="15.6">
      <c r="A12" s="39" t="s">
        <v>12</v>
      </c>
      <c r="B12" s="40">
        <f>ABS(B6)</f>
        <v>10</v>
      </c>
      <c r="C12" s="40">
        <f>ABS(C6)+ABS(D6)</f>
        <v>2</v>
      </c>
      <c r="D12" s="41" t="str">
        <f>IF(B12&gt;=C12, "ok", "Fail")</f>
        <v>ok</v>
      </c>
    </row>
    <row r="13" spans="1:11" ht="15.6">
      <c r="A13" s="39" t="s">
        <v>13</v>
      </c>
      <c r="B13" s="40">
        <f>ABS(C7)</f>
        <v>8</v>
      </c>
      <c r="C13" s="40">
        <f>ABS(B7)+ABS(D7)</f>
        <v>6</v>
      </c>
      <c r="D13" s="41" t="str">
        <f>IF(B13&gt;=C13, "ok", "Fail")</f>
        <v>ok</v>
      </c>
    </row>
    <row r="14" spans="1:11" ht="15.6">
      <c r="A14" s="39" t="s">
        <v>14</v>
      </c>
      <c r="B14" s="40">
        <f>ABS(D8)</f>
        <v>9</v>
      </c>
      <c r="C14" s="40">
        <f>ABS(B8)+ABS(C8)</f>
        <v>6</v>
      </c>
      <c r="D14" s="41" t="str">
        <f>IF(B14&gt;=C14, "ok", "Fail")</f>
        <v>ok</v>
      </c>
    </row>
    <row r="16" spans="1:11" ht="15.6">
      <c r="A16" s="33" t="s">
        <v>15</v>
      </c>
    </row>
    <row r="18" spans="1:8" ht="15.6">
      <c r="A18" s="33" t="s">
        <v>22</v>
      </c>
    </row>
    <row r="19" spans="1:8">
      <c r="B19" s="42" t="s">
        <v>23</v>
      </c>
      <c r="C19" s="42" t="s">
        <v>24</v>
      </c>
      <c r="D19" s="42" t="s">
        <v>25</v>
      </c>
    </row>
    <row r="20" spans="1:8">
      <c r="B20" s="40">
        <v>0</v>
      </c>
      <c r="C20" s="40">
        <v>0</v>
      </c>
      <c r="D20" s="40">
        <v>0</v>
      </c>
    </row>
    <row r="22" spans="1:8" ht="15.6">
      <c r="A22" s="33" t="s">
        <v>26</v>
      </c>
      <c r="D22" s="43" t="s">
        <v>27</v>
      </c>
      <c r="E22" s="43">
        <v>0.02</v>
      </c>
    </row>
    <row r="23" spans="1:8" ht="15.6">
      <c r="A23" s="33"/>
    </row>
    <row r="24" spans="1:8" ht="15.6">
      <c r="A24" s="33" t="s">
        <v>34</v>
      </c>
    </row>
    <row r="25" spans="1:8" ht="15.6">
      <c r="A25" s="40" t="s">
        <v>28</v>
      </c>
      <c r="B25" s="44" t="s">
        <v>23</v>
      </c>
      <c r="C25" s="44" t="s">
        <v>24</v>
      </c>
      <c r="D25" s="44" t="s">
        <v>25</v>
      </c>
      <c r="E25" s="45" t="s">
        <v>29</v>
      </c>
      <c r="F25" s="45" t="s">
        <v>30</v>
      </c>
      <c r="G25" s="45" t="s">
        <v>31</v>
      </c>
      <c r="H25" s="40"/>
    </row>
    <row r="26" spans="1:8">
      <c r="A26" s="40">
        <v>0</v>
      </c>
      <c r="B26" s="46">
        <f>B20</f>
        <v>0</v>
      </c>
      <c r="C26" s="46">
        <f>C20</f>
        <v>0</v>
      </c>
      <c r="D26" s="46">
        <f>D20</f>
        <v>0</v>
      </c>
      <c r="E26" s="46"/>
      <c r="F26" s="46"/>
      <c r="G26" s="46"/>
      <c r="H26" s="40"/>
    </row>
    <row r="27" spans="1:8">
      <c r="A27" s="40">
        <v>1</v>
      </c>
      <c r="B27" s="46">
        <f t="shared" ref="B27:B33" si="0">(1/$B$6)*($E$6-$C$6*C26-$D$6*D26)</f>
        <v>1.2000000000000002</v>
      </c>
      <c r="C27" s="46">
        <f t="shared" ref="C27:C33" si="1">(1/$C$7)*($E$7-$B$7*B26-$D$7*D26)</f>
        <v>0.75</v>
      </c>
      <c r="D27" s="46">
        <f t="shared" ref="D27:D33" si="2">(1/$D$8)*($E$8-$B$8*B26-$C$8*C26)</f>
        <v>1.6666666666666665</v>
      </c>
      <c r="E27" s="46">
        <f t="shared" ref="E27:G33" si="3">ABS(B27-B26)</f>
        <v>1.2000000000000002</v>
      </c>
      <c r="F27" s="46">
        <f t="shared" si="3"/>
        <v>0.75</v>
      </c>
      <c r="G27" s="46">
        <f t="shared" si="3"/>
        <v>1.6666666666666665</v>
      </c>
      <c r="H27" s="40" t="str">
        <f t="shared" ref="H27:H33" si="4">IF(AND(E27&lt;$E$22,F27&lt;$E$22,G27&lt;$E$22),"Fim!!","")</f>
        <v/>
      </c>
    </row>
    <row r="28" spans="1:8">
      <c r="A28" s="40">
        <v>2</v>
      </c>
      <c r="B28" s="46">
        <f t="shared" si="0"/>
        <v>0.95833333333333348</v>
      </c>
      <c r="C28" s="46">
        <f t="shared" si="1"/>
        <v>1.2833333333333332</v>
      </c>
      <c r="D28" s="46">
        <f t="shared" si="2"/>
        <v>1.1166666666666667</v>
      </c>
      <c r="E28" s="46">
        <f t="shared" si="3"/>
        <v>0.2416666666666667</v>
      </c>
      <c r="F28" s="46">
        <f t="shared" si="3"/>
        <v>0.53333333333333321</v>
      </c>
      <c r="G28" s="46">
        <f t="shared" si="3"/>
        <v>0.54999999999999982</v>
      </c>
      <c r="H28" s="40" t="str">
        <f t="shared" si="4"/>
        <v/>
      </c>
    </row>
    <row r="29" spans="1:8">
      <c r="A29" s="40">
        <v>3</v>
      </c>
      <c r="B29" s="46">
        <f t="shared" si="0"/>
        <v>0.96</v>
      </c>
      <c r="C29" s="46">
        <f t="shared" si="1"/>
        <v>1.0687500000000001</v>
      </c>
      <c r="D29" s="46">
        <f t="shared" si="2"/>
        <v>0.84722222222222221</v>
      </c>
      <c r="E29" s="46">
        <f t="shared" si="3"/>
        <v>1.6666666666664831E-3</v>
      </c>
      <c r="F29" s="46">
        <f t="shared" si="3"/>
        <v>0.21458333333333313</v>
      </c>
      <c r="G29" s="46">
        <f t="shared" si="3"/>
        <v>0.26944444444444449</v>
      </c>
      <c r="H29" s="40" t="str">
        <f t="shared" si="4"/>
        <v/>
      </c>
    </row>
    <row r="30" spans="1:8">
      <c r="A30" s="40">
        <v>4</v>
      </c>
      <c r="B30" s="46">
        <f t="shared" si="0"/>
        <v>1.008402777777778</v>
      </c>
      <c r="C30" s="46">
        <f t="shared" si="1"/>
        <v>0.93361111111111117</v>
      </c>
      <c r="D30" s="46">
        <f t="shared" si="2"/>
        <v>0.96624999999999983</v>
      </c>
      <c r="E30" s="46">
        <f t="shared" si="3"/>
        <v>4.8402777777778017E-2</v>
      </c>
      <c r="F30" s="46">
        <f t="shared" si="3"/>
        <v>0.13513888888888892</v>
      </c>
      <c r="G30" s="46">
        <f t="shared" si="3"/>
        <v>0.11902777777777762</v>
      </c>
      <c r="H30" s="40" t="str">
        <f t="shared" si="4"/>
        <v/>
      </c>
    </row>
    <row r="31" spans="1:8">
      <c r="A31" s="40">
        <v>5</v>
      </c>
      <c r="B31" s="46">
        <f t="shared" si="0"/>
        <v>1.010013888888889</v>
      </c>
      <c r="C31" s="46">
        <f t="shared" si="1"/>
        <v>0.98102430555555542</v>
      </c>
      <c r="D31" s="46">
        <f t="shared" si="2"/>
        <v>1.035949074074074</v>
      </c>
      <c r="E31" s="46">
        <f t="shared" si="3"/>
        <v>1.6111111111110077E-3</v>
      </c>
      <c r="F31" s="46">
        <f t="shared" si="3"/>
        <v>4.7413194444444251E-2</v>
      </c>
      <c r="G31" s="46">
        <f t="shared" si="3"/>
        <v>6.9699074074074163E-2</v>
      </c>
      <c r="H31" s="40" t="str">
        <f t="shared" si="4"/>
        <v/>
      </c>
    </row>
    <row r="32" spans="1:8">
      <c r="A32" s="40">
        <v>6</v>
      </c>
      <c r="B32" s="46">
        <f t="shared" si="0"/>
        <v>0.9983026620370371</v>
      </c>
      <c r="C32" s="46">
        <f t="shared" si="1"/>
        <v>1.0154710648148146</v>
      </c>
      <c r="D32" s="46">
        <f t="shared" si="2"/>
        <v>1.0094293981481484</v>
      </c>
      <c r="E32" s="46">
        <f t="shared" si="3"/>
        <v>1.1711226851851886E-2</v>
      </c>
      <c r="F32" s="46">
        <f t="shared" si="3"/>
        <v>3.4446759259259219E-2</v>
      </c>
      <c r="G32" s="46">
        <f t="shared" si="3"/>
        <v>2.6519675925925634E-2</v>
      </c>
      <c r="H32" s="40" t="str">
        <f t="shared" si="4"/>
        <v/>
      </c>
    </row>
    <row r="33" spans="1:8">
      <c r="A33" s="40">
        <v>7</v>
      </c>
      <c r="B33" s="46">
        <f t="shared" si="0"/>
        <v>0.99750995370370377</v>
      </c>
      <c r="C33" s="46">
        <f t="shared" si="1"/>
        <v>1.0051390335648149</v>
      </c>
      <c r="D33" s="46">
        <f t="shared" si="2"/>
        <v>0.9915935570987654</v>
      </c>
      <c r="E33" s="46">
        <f t="shared" si="3"/>
        <v>7.9270833333333623E-4</v>
      </c>
      <c r="F33" s="46">
        <f t="shared" si="3"/>
        <v>1.0332031249999707E-2</v>
      </c>
      <c r="G33" s="46">
        <f t="shared" si="3"/>
        <v>1.7835841049382961E-2</v>
      </c>
      <c r="H33" s="40" t="str">
        <f t="shared" si="4"/>
        <v>Fim!!</v>
      </c>
    </row>
    <row r="37" spans="1:8" ht="15.6">
      <c r="A37" s="31" t="s">
        <v>35</v>
      </c>
    </row>
    <row r="38" spans="1:8" ht="15.6">
      <c r="A38" s="47" t="s">
        <v>28</v>
      </c>
      <c r="B38" s="44" t="s">
        <v>23</v>
      </c>
      <c r="C38" s="44" t="s">
        <v>24</v>
      </c>
      <c r="D38" s="44" t="s">
        <v>25</v>
      </c>
      <c r="E38" s="45" t="s">
        <v>29</v>
      </c>
      <c r="F38" s="45" t="s">
        <v>30</v>
      </c>
      <c r="G38" s="45" t="s">
        <v>31</v>
      </c>
      <c r="H38" s="40"/>
    </row>
    <row r="39" spans="1:8">
      <c r="A39" s="40">
        <v>0</v>
      </c>
      <c r="B39" s="48">
        <f>B20</f>
        <v>0</v>
      </c>
      <c r="C39" s="48">
        <f>(1/$C$7)*($E$7-$B$7*B39-$D$7*D20)</f>
        <v>0.75</v>
      </c>
      <c r="D39" s="48">
        <f>1/$D$8*($E$8-$B$8*B39-$C$8*C39)</f>
        <v>1.25</v>
      </c>
      <c r="E39" s="48"/>
      <c r="F39" s="48"/>
      <c r="G39" s="48"/>
      <c r="H39" s="40"/>
    </row>
    <row r="40" spans="1:8">
      <c r="A40" s="40">
        <v>1</v>
      </c>
      <c r="B40" s="48">
        <f>(1/$B$6)*($E$6-$C$6*C39-$D$6*D39)</f>
        <v>1</v>
      </c>
      <c r="C40" s="48">
        <f>(1/$C$7)*($E$7-$B$7*B40-$D$7*D39)</f>
        <v>1.125</v>
      </c>
      <c r="D40" s="48">
        <f>(1/$D$8)*($E$8-$B$8*B40-$C$8*C40)</f>
        <v>0.93055555555555547</v>
      </c>
      <c r="E40" s="48">
        <f t="shared" ref="E40:G43" si="5">ABS(B40-B39)</f>
        <v>1</v>
      </c>
      <c r="F40" s="48">
        <f t="shared" si="5"/>
        <v>0.375</v>
      </c>
      <c r="G40" s="48">
        <f t="shared" si="5"/>
        <v>0.31944444444444453</v>
      </c>
      <c r="H40" s="40" t="str">
        <f>IF(AND(E40&lt;$E$22,F40&lt;$E$22,G40&lt;$E$22),"Fim!!","")</f>
        <v/>
      </c>
    </row>
    <row r="41" spans="1:8">
      <c r="A41" s="40">
        <v>2</v>
      </c>
      <c r="B41" s="48">
        <f>(1/$B$6)*($E$6-$C$6*C40-$D$6*D40)</f>
        <v>0.99444444444444446</v>
      </c>
      <c r="C41" s="48">
        <f>(1/$C$7)*($E$7-$B$7*B41-$D$7*D40)</f>
        <v>0.96666666666666656</v>
      </c>
      <c r="D41" s="48">
        <f>(1/$D$8)*($E$8-$B$8*B41-$C$8*C41)</f>
        <v>1.0191358024691359</v>
      </c>
      <c r="E41" s="48">
        <f t="shared" si="5"/>
        <v>5.5555555555555358E-3</v>
      </c>
      <c r="F41" s="48">
        <f t="shared" si="5"/>
        <v>0.15833333333333344</v>
      </c>
      <c r="G41" s="48">
        <f t="shared" si="5"/>
        <v>8.8580246913580463E-2</v>
      </c>
      <c r="H41" s="40" t="str">
        <f>IF(AND(E41&lt;$E$22,F41&lt;$E$22,G41&lt;$E$22),"Fim!!","")</f>
        <v/>
      </c>
    </row>
    <row r="42" spans="1:8">
      <c r="A42" s="40">
        <v>3</v>
      </c>
      <c r="B42" s="48">
        <f>(1/$B$6)*($E$6-$C$6*C41-$D$6*D41)</f>
        <v>1.00141975308642</v>
      </c>
      <c r="C42" s="48">
        <f>(1/$C$7)*($E$7-$B$7*B42-$D$7*D41)</f>
        <v>1.0092129629629629</v>
      </c>
      <c r="D42" s="48">
        <f>(1/$D$8)*($E$8-$B$8*B42-$C$8*C42)</f>
        <v>0.99472393689986283</v>
      </c>
      <c r="E42" s="48">
        <f t="shared" si="5"/>
        <v>6.9753086419754862E-3</v>
      </c>
      <c r="F42" s="48">
        <f t="shared" si="5"/>
        <v>4.254629629629636E-2</v>
      </c>
      <c r="G42" s="48">
        <f t="shared" si="5"/>
        <v>2.4411865569273106E-2</v>
      </c>
      <c r="H42" s="40" t="str">
        <f>IF(AND(E42&lt;$E$22,F42&lt;$E$22,G42&lt;$E$22),"Fim!!","")</f>
        <v/>
      </c>
    </row>
    <row r="43" spans="1:8">
      <c r="A43" s="40">
        <v>4</v>
      </c>
      <c r="B43" s="48">
        <f>(1/$B$6)*($E$6-$C$6*C42-$D$6*D42)</f>
        <v>0.99960631001371747</v>
      </c>
      <c r="C43" s="48">
        <f>(1/$C$7)*($E$7-$B$7*B43-$D$7*D42)</f>
        <v>0.99746039094650207</v>
      </c>
      <c r="D43" s="48">
        <f>(1/$D$8)*($E$8-$B$8*B43-$C$8*C43)</f>
        <v>1.0014546372504189</v>
      </c>
      <c r="E43" s="48">
        <f t="shared" si="5"/>
        <v>1.8134430727024808E-3</v>
      </c>
      <c r="F43" s="48">
        <f t="shared" si="5"/>
        <v>1.1752572016460849E-2</v>
      </c>
      <c r="G43" s="48">
        <f t="shared" si="5"/>
        <v>6.730700350556118E-3</v>
      </c>
      <c r="H43" s="40" t="str">
        <f>IF(AND(E43&lt;$E$22,F43&lt;$E$22,G43&lt;$E$22),"Fim!!","")</f>
        <v>Fim!!</v>
      </c>
    </row>
  </sheetData>
  <mergeCells count="2">
    <mergeCell ref="A1:J1"/>
    <mergeCell ref="A2:C2"/>
  </mergeCells>
  <pageMargins left="0.51456692913385826" right="0.38070866141732279" top="0.39370078740157477" bottom="0.39370078740157477" header="0" footer="0"/>
  <pageSetup paperSize="0" scale="90" fitToWidth="0" fitToHeight="0" pageOrder="overThenDown" useFirstPageNumber="1" horizontalDpi="0" verticalDpi="0" copies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467D-CA92-4E02-9AB9-9FD6C801CBC7}">
  <dimension ref="A1:K56"/>
  <sheetViews>
    <sheetView workbookViewId="0">
      <selection sqref="A1:J1"/>
    </sheetView>
  </sheetViews>
  <sheetFormatPr defaultRowHeight="13.8"/>
  <cols>
    <col min="1" max="1" width="7.33203125" style="51" customWidth="1"/>
    <col min="2" max="2" width="7.21875" style="51" customWidth="1"/>
    <col min="3" max="3" width="7.88671875" style="51" customWidth="1"/>
    <col min="4" max="4" width="6.88671875" style="51" customWidth="1"/>
    <col min="5" max="5" width="7.109375" style="51" customWidth="1"/>
    <col min="6" max="6" width="7.33203125" style="51" customWidth="1"/>
    <col min="7" max="7" width="8.44140625" style="51" customWidth="1"/>
    <col min="8" max="8" width="9.44140625" style="51" customWidth="1"/>
    <col min="9" max="9" width="8.44140625" style="51" customWidth="1"/>
    <col min="10" max="11" width="9.44140625" style="51" customWidth="1"/>
    <col min="12" max="16384" width="8.88671875" style="51"/>
  </cols>
  <sheetData>
    <row r="1" spans="1:11" ht="15">
      <c r="A1" s="50" t="s">
        <v>36</v>
      </c>
      <c r="B1" s="50"/>
      <c r="C1" s="50"/>
      <c r="D1" s="50"/>
      <c r="E1" s="50"/>
      <c r="F1" s="50"/>
      <c r="G1" s="50"/>
      <c r="H1" s="50"/>
      <c r="I1" s="50"/>
      <c r="J1" s="50"/>
    </row>
    <row r="2" spans="1:11" ht="52.35" customHeight="1">
      <c r="A2" s="52"/>
      <c r="B2" s="52"/>
      <c r="C2" s="52"/>
      <c r="D2" s="53"/>
      <c r="E2" s="53"/>
      <c r="F2" s="53"/>
      <c r="G2" s="53"/>
      <c r="H2" s="53"/>
      <c r="I2" s="53"/>
      <c r="J2" s="53"/>
    </row>
    <row r="3" spans="1:11" ht="15">
      <c r="F3" s="53"/>
      <c r="G3" s="53"/>
      <c r="H3" s="53"/>
      <c r="I3" s="53"/>
      <c r="J3" s="53"/>
    </row>
    <row r="4" spans="1:11" ht="15.6">
      <c r="A4" s="54" t="s">
        <v>2</v>
      </c>
      <c r="F4" s="53"/>
      <c r="G4" s="53"/>
      <c r="H4" s="53"/>
      <c r="I4" s="53"/>
      <c r="J4" s="53"/>
    </row>
    <row r="5" spans="1:11" ht="15.6">
      <c r="A5" s="53"/>
      <c r="B5" s="53"/>
      <c r="C5" s="55" t="s">
        <v>5</v>
      </c>
      <c r="D5" s="55"/>
      <c r="E5" s="55" t="s">
        <v>6</v>
      </c>
      <c r="F5" s="53"/>
      <c r="G5" s="53"/>
      <c r="H5" s="53"/>
      <c r="I5" s="53"/>
      <c r="J5" s="53"/>
    </row>
    <row r="6" spans="1:11" ht="15">
      <c r="A6" s="53"/>
      <c r="B6" s="56">
        <v>1</v>
      </c>
      <c r="C6" s="56">
        <v>1</v>
      </c>
      <c r="D6" s="56">
        <v>-5</v>
      </c>
      <c r="E6" s="57">
        <v>-6</v>
      </c>
      <c r="F6" s="53"/>
      <c r="G6" s="53"/>
      <c r="H6" s="53"/>
      <c r="I6" s="53"/>
      <c r="J6" s="53"/>
    </row>
    <row r="7" spans="1:11" ht="15.6">
      <c r="A7" s="55"/>
      <c r="B7" s="56">
        <v>4</v>
      </c>
      <c r="C7" s="56">
        <v>-1</v>
      </c>
      <c r="D7" s="56">
        <v>1</v>
      </c>
      <c r="E7" s="57">
        <v>19</v>
      </c>
      <c r="F7" s="53"/>
      <c r="G7" s="53"/>
      <c r="H7" s="53"/>
      <c r="I7" s="53"/>
      <c r="J7" s="53"/>
    </row>
    <row r="8" spans="1:11" ht="15">
      <c r="A8" s="53"/>
      <c r="B8" s="56">
        <v>1</v>
      </c>
      <c r="C8" s="56">
        <v>3</v>
      </c>
      <c r="D8" s="56">
        <v>-1</v>
      </c>
      <c r="E8" s="57">
        <v>14</v>
      </c>
      <c r="F8" s="53"/>
      <c r="G8" s="53"/>
      <c r="H8" s="53"/>
      <c r="I8" s="53"/>
      <c r="J8" s="53"/>
    </row>
    <row r="9" spans="1:11" ht="15">
      <c r="A9" s="53"/>
      <c r="B9" s="53"/>
      <c r="C9" s="53"/>
      <c r="D9" s="53"/>
      <c r="E9" s="53"/>
      <c r="F9" s="53"/>
      <c r="G9" s="53"/>
      <c r="H9" s="53"/>
      <c r="I9" s="53"/>
      <c r="J9" s="53"/>
    </row>
    <row r="10" spans="1:11" ht="15.6">
      <c r="A10" s="54" t="s">
        <v>10</v>
      </c>
      <c r="B10" s="53"/>
      <c r="C10" s="53"/>
      <c r="D10" s="53"/>
      <c r="E10" s="53"/>
      <c r="F10" s="53"/>
      <c r="G10" s="53"/>
      <c r="H10" s="53"/>
      <c r="I10" s="53"/>
      <c r="J10" s="53"/>
    </row>
    <row r="11" spans="1:11" ht="15.6">
      <c r="A11" s="54"/>
      <c r="B11" s="53"/>
      <c r="C11" s="53" t="s">
        <v>11</v>
      </c>
      <c r="D11" s="53"/>
      <c r="E11" s="53"/>
      <c r="F11" s="53"/>
      <c r="G11" s="53"/>
      <c r="H11" s="53"/>
      <c r="I11" s="53"/>
      <c r="J11" s="53"/>
    </row>
    <row r="12" spans="1:11" ht="15.6">
      <c r="A12" s="58" t="s">
        <v>12</v>
      </c>
      <c r="B12" s="59">
        <f>ABS(B6)</f>
        <v>1</v>
      </c>
      <c r="C12" s="59">
        <f>ABS(C6)+ABS(D6)</f>
        <v>6</v>
      </c>
      <c r="D12" s="60" t="str">
        <f>IF(B12&gt;=C12, "ok", "Fail")</f>
        <v>Fail</v>
      </c>
      <c r="E12" s="53"/>
      <c r="F12" s="53"/>
      <c r="G12" s="53"/>
      <c r="H12" s="53"/>
      <c r="I12" s="53"/>
      <c r="J12" s="53"/>
    </row>
    <row r="13" spans="1:11" ht="15.6">
      <c r="A13" s="58" t="s">
        <v>13</v>
      </c>
      <c r="B13" s="59">
        <f>ABS(C7)</f>
        <v>1</v>
      </c>
      <c r="C13" s="59">
        <f>ABS(B7)+ABS(D7)</f>
        <v>5</v>
      </c>
      <c r="D13" s="60" t="str">
        <f>IF(B13&gt;=C13, "ok", "Fail")</f>
        <v>Fail</v>
      </c>
      <c r="E13" s="53"/>
      <c r="F13" s="53"/>
      <c r="G13" s="53"/>
      <c r="H13" s="53"/>
      <c r="I13" s="53"/>
      <c r="J13" s="53"/>
    </row>
    <row r="14" spans="1:11" ht="15.6">
      <c r="A14" s="58" t="s">
        <v>14</v>
      </c>
      <c r="B14" s="59">
        <f>ABS(D8)</f>
        <v>1</v>
      </c>
      <c r="C14" s="59">
        <f>ABS(B8)+ABS(C8)</f>
        <v>4</v>
      </c>
      <c r="D14" s="60" t="str">
        <f>IF(B14&gt;=C14, "ok", "Fail")</f>
        <v>Fail</v>
      </c>
      <c r="E14" s="53"/>
      <c r="F14" s="53"/>
      <c r="G14" s="53"/>
      <c r="H14" s="53"/>
      <c r="I14" s="53"/>
      <c r="J14" s="53"/>
    </row>
    <row r="15" spans="1:11" ht="15.6">
      <c r="F15" s="53"/>
      <c r="G15" s="61" t="s">
        <v>1</v>
      </c>
      <c r="H15" s="53"/>
      <c r="J15" s="61" t="s">
        <v>1</v>
      </c>
      <c r="K15" s="53"/>
    </row>
    <row r="16" spans="1:11" ht="15.6">
      <c r="A16" s="54" t="s">
        <v>2</v>
      </c>
      <c r="F16" s="53"/>
      <c r="G16" s="62" t="s">
        <v>3</v>
      </c>
      <c r="H16" s="62" t="s">
        <v>3</v>
      </c>
      <c r="I16" s="63"/>
      <c r="J16" s="62" t="s">
        <v>4</v>
      </c>
      <c r="K16" s="62" t="s">
        <v>4</v>
      </c>
    </row>
    <row r="17" spans="1:11" ht="15.6">
      <c r="A17" s="53"/>
      <c r="B17" s="53"/>
      <c r="C17" s="55" t="s">
        <v>5</v>
      </c>
      <c r="D17" s="55"/>
      <c r="E17" s="55" t="s">
        <v>6</v>
      </c>
      <c r="F17" s="53"/>
      <c r="G17" s="62" t="s">
        <v>7</v>
      </c>
      <c r="H17" s="62" t="s">
        <v>6</v>
      </c>
      <c r="J17" s="62" t="s">
        <v>7</v>
      </c>
      <c r="K17" s="62" t="s">
        <v>6</v>
      </c>
    </row>
    <row r="18" spans="1:11" ht="15">
      <c r="A18" s="53"/>
      <c r="B18" s="56">
        <v>4</v>
      </c>
      <c r="C18" s="56">
        <v>-1</v>
      </c>
      <c r="D18" s="56">
        <v>1</v>
      </c>
      <c r="E18" s="57">
        <v>19</v>
      </c>
      <c r="F18" s="53"/>
      <c r="G18" s="64">
        <f>B48</f>
        <v>4.9982962962962958</v>
      </c>
      <c r="H18" s="65">
        <f t="array" ref="H18:H20">MMULT(B18:D20,G18:G20)</f>
        <v>19.007925925925925</v>
      </c>
      <c r="J18" s="64">
        <f>B56</f>
        <v>4.9977159722222222</v>
      </c>
      <c r="K18" s="65">
        <f t="array" ref="K18:K20">MMULT(B18:D20,J18:J20)</f>
        <v>18.989639490740743</v>
      </c>
    </row>
    <row r="19" spans="1:11" ht="15.6">
      <c r="A19" s="55"/>
      <c r="B19" s="56">
        <v>1</v>
      </c>
      <c r="C19" s="56">
        <v>3</v>
      </c>
      <c r="D19" s="56">
        <v>-1</v>
      </c>
      <c r="E19" s="57">
        <v>14</v>
      </c>
      <c r="F19" s="53"/>
      <c r="G19" s="64">
        <f>C48</f>
        <v>3.9902962962962967</v>
      </c>
      <c r="H19" s="65">
        <v>13.96414814814815</v>
      </c>
      <c r="J19" s="64">
        <f>C56</f>
        <v>4.0009594907407404</v>
      </c>
      <c r="K19" s="65">
        <v>14.000859351851853</v>
      </c>
    </row>
    <row r="20" spans="1:11" ht="15">
      <c r="A20" s="53"/>
      <c r="B20" s="56">
        <v>1</v>
      </c>
      <c r="C20" s="56">
        <v>1</v>
      </c>
      <c r="D20" s="56">
        <v>-5</v>
      </c>
      <c r="E20" s="57">
        <v>-6</v>
      </c>
      <c r="F20" s="53"/>
      <c r="G20" s="64">
        <f>D48</f>
        <v>3.0050370370370367</v>
      </c>
      <c r="H20" s="65">
        <v>-6.0365925925925907</v>
      </c>
      <c r="J20" s="64">
        <f>D56</f>
        <v>2.9997350925925925</v>
      </c>
      <c r="K20" s="65">
        <v>-6</v>
      </c>
    </row>
    <row r="21" spans="1:11" ht="15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</row>
    <row r="22" spans="1:11" ht="15.6">
      <c r="A22" s="54" t="s">
        <v>10</v>
      </c>
      <c r="B22" s="53"/>
      <c r="C22" s="53"/>
      <c r="D22" s="53"/>
      <c r="E22" s="53"/>
      <c r="F22" s="53"/>
      <c r="G22" s="53"/>
      <c r="H22" s="53"/>
      <c r="I22" s="53"/>
      <c r="J22" s="53"/>
    </row>
    <row r="23" spans="1:11" ht="15.6">
      <c r="A23" s="54"/>
      <c r="B23" s="53"/>
      <c r="C23" s="53" t="s">
        <v>11</v>
      </c>
      <c r="D23" s="53"/>
      <c r="E23" s="53"/>
      <c r="F23" s="53"/>
      <c r="G23" s="53"/>
      <c r="H23" s="53"/>
      <c r="I23" s="53"/>
      <c r="J23" s="53"/>
    </row>
    <row r="24" spans="1:11" ht="15.6" hidden="1">
      <c r="A24" s="58" t="s">
        <v>12</v>
      </c>
      <c r="B24" s="59">
        <f>ABS(B18)</f>
        <v>4</v>
      </c>
      <c r="C24" s="59">
        <f>ABS(C18)+ABS(D18)</f>
        <v>2</v>
      </c>
      <c r="D24" s="60" t="str">
        <f>IF(B24&gt;=C24, "ok", "Fail")</f>
        <v>ok</v>
      </c>
      <c r="E24" s="53"/>
      <c r="F24" s="53"/>
      <c r="G24" s="53"/>
      <c r="H24" s="53"/>
      <c r="I24" s="53"/>
      <c r="J24" s="53"/>
    </row>
    <row r="25" spans="1:11" ht="15.6" hidden="1">
      <c r="A25" s="58" t="s">
        <v>13</v>
      </c>
      <c r="B25" s="59">
        <f>ABS(C19)</f>
        <v>3</v>
      </c>
      <c r="C25" s="59">
        <f>ABS(B19)+ABS(D19)</f>
        <v>2</v>
      </c>
      <c r="D25" s="60" t="str">
        <f>IF(B25&gt;=C25, "ok", "Fail")</f>
        <v>ok</v>
      </c>
      <c r="E25" s="53"/>
      <c r="F25" s="53"/>
      <c r="G25" s="53"/>
      <c r="H25" s="53"/>
      <c r="I25" s="53"/>
      <c r="J25" s="53"/>
    </row>
    <row r="26" spans="1:11" ht="15.6" hidden="1">
      <c r="A26" s="58" t="s">
        <v>14</v>
      </c>
      <c r="B26" s="59">
        <f>ABS(D20)</f>
        <v>5</v>
      </c>
      <c r="C26" s="59">
        <f>ABS(B20)+ABS(C20)</f>
        <v>2</v>
      </c>
      <c r="D26" s="60" t="str">
        <f>IF(B26&gt;=C26, "ok", "Fail")</f>
        <v>ok</v>
      </c>
      <c r="E26" s="53"/>
      <c r="F26" s="53"/>
      <c r="G26" s="53"/>
      <c r="H26" s="53"/>
      <c r="I26" s="53"/>
      <c r="J26" s="53"/>
    </row>
    <row r="27" spans="1:11" ht="15">
      <c r="A27" s="53"/>
      <c r="B27" s="53"/>
      <c r="C27" s="53"/>
      <c r="D27" s="53"/>
      <c r="E27" s="53"/>
      <c r="F27" s="53"/>
      <c r="G27" s="53"/>
      <c r="H27" s="53"/>
      <c r="I27" s="53"/>
      <c r="J27" s="53"/>
    </row>
    <row r="28" spans="1:11" ht="15.6">
      <c r="A28" s="55" t="s">
        <v>15</v>
      </c>
      <c r="B28" s="53"/>
      <c r="C28" s="53"/>
      <c r="D28" s="53"/>
      <c r="E28" s="53"/>
      <c r="F28" s="53"/>
      <c r="G28" s="53"/>
      <c r="H28" s="53"/>
      <c r="I28" s="53"/>
      <c r="J28" s="53"/>
    </row>
    <row r="29" spans="1:11" ht="15">
      <c r="A29" s="53"/>
      <c r="B29" s="53"/>
      <c r="C29" s="53"/>
      <c r="D29" s="53"/>
      <c r="E29" s="53"/>
      <c r="F29" s="53"/>
      <c r="G29" s="53"/>
      <c r="H29" s="53"/>
      <c r="I29" s="53"/>
      <c r="J29" s="53"/>
    </row>
    <row r="30" spans="1:11">
      <c r="A30" s="66" t="s">
        <v>22</v>
      </c>
    </row>
    <row r="31" spans="1:11" ht="15">
      <c r="A31" s="53"/>
      <c r="B31" s="67" t="s">
        <v>23</v>
      </c>
      <c r="C31" s="67" t="s">
        <v>24</v>
      </c>
      <c r="D31" s="67" t="s">
        <v>25</v>
      </c>
    </row>
    <row r="32" spans="1:11" ht="15">
      <c r="A32" s="53"/>
      <c r="B32" s="68">
        <v>0</v>
      </c>
      <c r="C32" s="68">
        <v>0</v>
      </c>
      <c r="D32" s="68">
        <v>0</v>
      </c>
    </row>
    <row r="33" spans="1:8" ht="15">
      <c r="A33" s="53"/>
    </row>
    <row r="34" spans="1:8">
      <c r="A34" s="66" t="s">
        <v>26</v>
      </c>
      <c r="D34" s="69" t="s">
        <v>27</v>
      </c>
      <c r="E34" s="69">
        <v>0.05</v>
      </c>
    </row>
    <row r="35" spans="1:8">
      <c r="A35" s="66"/>
    </row>
    <row r="36" spans="1:8" ht="15">
      <c r="A36" s="53" t="s">
        <v>16</v>
      </c>
      <c r="B36" s="53" t="s">
        <v>37</v>
      </c>
    </row>
    <row r="37" spans="1:8" ht="15">
      <c r="A37" s="53" t="s">
        <v>18</v>
      </c>
      <c r="B37" s="53" t="s">
        <v>38</v>
      </c>
    </row>
    <row r="38" spans="1:8" ht="15">
      <c r="A38" s="53" t="s">
        <v>20</v>
      </c>
      <c r="B38" s="53" t="s">
        <v>39</v>
      </c>
    </row>
    <row r="39" spans="1:8">
      <c r="A39" s="66"/>
    </row>
    <row r="40" spans="1:8" ht="15.6">
      <c r="A40" s="70" t="s">
        <v>34</v>
      </c>
    </row>
    <row r="41" spans="1:8">
      <c r="A41" s="71" t="s">
        <v>28</v>
      </c>
      <c r="B41" s="72" t="s">
        <v>23</v>
      </c>
      <c r="C41" s="72" t="s">
        <v>24</v>
      </c>
      <c r="D41" s="72" t="s">
        <v>25</v>
      </c>
      <c r="E41" s="73" t="s">
        <v>29</v>
      </c>
      <c r="F41" s="73" t="s">
        <v>30</v>
      </c>
      <c r="G41" s="73" t="s">
        <v>31</v>
      </c>
      <c r="H41" s="68"/>
    </row>
    <row r="42" spans="1:8">
      <c r="A42" s="68">
        <v>0</v>
      </c>
      <c r="B42" s="68">
        <f>B32</f>
        <v>0</v>
      </c>
      <c r="C42" s="68">
        <f>C32</f>
        <v>0</v>
      </c>
      <c r="D42" s="68">
        <f>D32</f>
        <v>0</v>
      </c>
      <c r="E42" s="68"/>
      <c r="F42" s="68"/>
      <c r="G42" s="68"/>
      <c r="H42" s="68"/>
    </row>
    <row r="43" spans="1:8">
      <c r="A43" s="68">
        <v>1</v>
      </c>
      <c r="B43" s="74">
        <f t="shared" ref="B43:B48" si="0">(1/$B$18)*($E$18-$C$18*C42-$D$18*D42)</f>
        <v>4.75</v>
      </c>
      <c r="C43" s="74">
        <f t="shared" ref="C43:C48" si="1">(1/$C$19)*($E$19-$B$19*B42-$D$19*D42)</f>
        <v>4.6666666666666661</v>
      </c>
      <c r="D43" s="74">
        <f t="shared" ref="D43:D48" si="2">(1/$D$20)*($E$20-$B$20*B42-$C$20*C42)</f>
        <v>1.2000000000000002</v>
      </c>
      <c r="E43" s="74">
        <f t="shared" ref="E43:G48" si="3">ABS(B43-B42)</f>
        <v>4.75</v>
      </c>
      <c r="F43" s="74">
        <f t="shared" si="3"/>
        <v>4.6666666666666661</v>
      </c>
      <c r="G43" s="74">
        <f t="shared" si="3"/>
        <v>1.2000000000000002</v>
      </c>
      <c r="H43" s="68" t="str">
        <f t="shared" ref="H43:H48" si="4">IF(AND(E43&lt;$E$34,F43&lt;$E$34,G43&lt;$E$34),"Fim!!","")</f>
        <v/>
      </c>
    </row>
    <row r="44" spans="1:8">
      <c r="A44" s="68">
        <v>2</v>
      </c>
      <c r="B44" s="74">
        <f t="shared" si="0"/>
        <v>5.6166666666666663</v>
      </c>
      <c r="C44" s="74">
        <f t="shared" si="1"/>
        <v>3.4833333333333329</v>
      </c>
      <c r="D44" s="74">
        <f t="shared" si="2"/>
        <v>3.0833333333333335</v>
      </c>
      <c r="E44" s="74">
        <f t="shared" si="3"/>
        <v>0.86666666666666625</v>
      </c>
      <c r="F44" s="74">
        <f t="shared" si="3"/>
        <v>1.1833333333333331</v>
      </c>
      <c r="G44" s="74">
        <f t="shared" si="3"/>
        <v>1.8833333333333333</v>
      </c>
      <c r="H44" s="68" t="str">
        <f t="shared" si="4"/>
        <v/>
      </c>
    </row>
    <row r="45" spans="1:8">
      <c r="A45" s="68">
        <v>3</v>
      </c>
      <c r="B45" s="74">
        <f t="shared" si="0"/>
        <v>4.8500000000000005</v>
      </c>
      <c r="C45" s="74">
        <f t="shared" si="1"/>
        <v>3.822222222222222</v>
      </c>
      <c r="D45" s="74">
        <f t="shared" si="2"/>
        <v>3.02</v>
      </c>
      <c r="E45" s="74">
        <f t="shared" si="3"/>
        <v>0.76666666666666572</v>
      </c>
      <c r="F45" s="74">
        <f t="shared" si="3"/>
        <v>0.33888888888888902</v>
      </c>
      <c r="G45" s="74">
        <f t="shared" si="3"/>
        <v>6.3333333333333464E-2</v>
      </c>
      <c r="H45" s="68" t="str">
        <f t="shared" si="4"/>
        <v/>
      </c>
    </row>
    <row r="46" spans="1:8">
      <c r="A46" s="68">
        <v>4</v>
      </c>
      <c r="B46" s="74">
        <f t="shared" si="0"/>
        <v>4.9505555555555558</v>
      </c>
      <c r="C46" s="74">
        <f t="shared" si="1"/>
        <v>4.0566666666666658</v>
      </c>
      <c r="D46" s="74">
        <f t="shared" si="2"/>
        <v>2.9344444444444449</v>
      </c>
      <c r="E46" s="74">
        <f t="shared" si="3"/>
        <v>0.10055555555555529</v>
      </c>
      <c r="F46" s="74">
        <f t="shared" si="3"/>
        <v>0.23444444444444379</v>
      </c>
      <c r="G46" s="74">
        <f t="shared" si="3"/>
        <v>8.5555555555555163E-2</v>
      </c>
      <c r="H46" s="68" t="str">
        <f t="shared" si="4"/>
        <v/>
      </c>
    </row>
    <row r="47" spans="1:8">
      <c r="A47" s="68">
        <v>5</v>
      </c>
      <c r="B47" s="74">
        <f t="shared" si="0"/>
        <v>5.030555555555555</v>
      </c>
      <c r="C47" s="74">
        <f t="shared" si="1"/>
        <v>3.9946296296296291</v>
      </c>
      <c r="D47" s="74">
        <f t="shared" si="2"/>
        <v>3.0014444444444446</v>
      </c>
      <c r="E47" s="74">
        <f t="shared" si="3"/>
        <v>7.9999999999999183E-2</v>
      </c>
      <c r="F47" s="74">
        <f t="shared" si="3"/>
        <v>6.2037037037036669E-2</v>
      </c>
      <c r="G47" s="74">
        <f t="shared" si="3"/>
        <v>6.6999999999999726E-2</v>
      </c>
      <c r="H47" s="68" t="str">
        <f t="shared" si="4"/>
        <v/>
      </c>
    </row>
    <row r="48" spans="1:8">
      <c r="A48" s="68">
        <v>6</v>
      </c>
      <c r="B48" s="74">
        <f t="shared" si="0"/>
        <v>4.9982962962962958</v>
      </c>
      <c r="C48" s="74">
        <f t="shared" si="1"/>
        <v>3.9902962962962967</v>
      </c>
      <c r="D48" s="74">
        <f t="shared" si="2"/>
        <v>3.0050370370370367</v>
      </c>
      <c r="E48" s="74">
        <f t="shared" si="3"/>
        <v>3.225925925925921E-2</v>
      </c>
      <c r="F48" s="74">
        <f t="shared" si="3"/>
        <v>4.333333333332412E-3</v>
      </c>
      <c r="G48" s="74">
        <f t="shared" si="3"/>
        <v>3.5925925925921476E-3</v>
      </c>
      <c r="H48" s="68" t="str">
        <f t="shared" si="4"/>
        <v>Fim!!</v>
      </c>
    </row>
    <row r="50" spans="1:8" ht="15.6">
      <c r="A50" s="54" t="s">
        <v>35</v>
      </c>
    </row>
    <row r="51" spans="1:8">
      <c r="A51" s="71" t="s">
        <v>28</v>
      </c>
      <c r="B51" s="72" t="s">
        <v>23</v>
      </c>
      <c r="C51" s="72" t="s">
        <v>24</v>
      </c>
      <c r="D51" s="72" t="s">
        <v>25</v>
      </c>
      <c r="E51" s="73" t="s">
        <v>29</v>
      </c>
      <c r="F51" s="73" t="s">
        <v>30</v>
      </c>
      <c r="G51" s="73" t="s">
        <v>31</v>
      </c>
      <c r="H51" s="68"/>
    </row>
    <row r="52" spans="1:8">
      <c r="A52" s="68">
        <v>0</v>
      </c>
      <c r="B52" s="74">
        <f>B32</f>
        <v>0</v>
      </c>
      <c r="C52" s="74">
        <f>(1/$C$19)*($E$19-$B$19*B52-$D$19*D32)</f>
        <v>4.6666666666666661</v>
      </c>
      <c r="D52" s="74">
        <f>1/$D$20*($E$20-$B$20*B52-$C$20*C52)</f>
        <v>2.1333333333333333</v>
      </c>
      <c r="E52" s="74"/>
      <c r="F52" s="74"/>
      <c r="G52" s="74"/>
      <c r="H52" s="68"/>
    </row>
    <row r="53" spans="1:8">
      <c r="A53" s="68">
        <v>1</v>
      </c>
      <c r="B53" s="74">
        <f>(1/$B$18)*($E$18-$C$18*C52-$D$18*D52)</f>
        <v>5.3833333333333329</v>
      </c>
      <c r="C53" s="74">
        <f>(1/$C$19)*($E$19-$B$19*B53-$D$19*D52)</f>
        <v>3.583333333333333</v>
      </c>
      <c r="D53" s="74">
        <f>(1/$D$20)*($E$20-$B$20*B53-$C$20*C53)</f>
        <v>2.9933333333333332</v>
      </c>
      <c r="E53" s="74">
        <f t="shared" ref="E53:G56" si="5">ABS(B53-B52)</f>
        <v>5.3833333333333329</v>
      </c>
      <c r="F53" s="74">
        <f t="shared" si="5"/>
        <v>1.083333333333333</v>
      </c>
      <c r="G53" s="74">
        <f t="shared" si="5"/>
        <v>0.85999999999999988</v>
      </c>
      <c r="H53" s="68" t="str">
        <f>IF(AND(E53&lt;$E$34,F53&lt;$E$34,G53&lt;$E$34),"Fim!!","")</f>
        <v/>
      </c>
    </row>
    <row r="54" spans="1:8">
      <c r="A54" s="68">
        <v>2</v>
      </c>
      <c r="B54" s="74">
        <f>(1/$B$18)*($E$18-$C$18*C53-$D$18*D53)</f>
        <v>4.8975</v>
      </c>
      <c r="C54" s="74">
        <f>(1/$C$19)*($E$19-$B$19*B54-$D$19*D53)</f>
        <v>4.0319444444444432</v>
      </c>
      <c r="D54" s="74">
        <f>(1/$D$20)*($E$20-$B$20*B54-$C$20*C54)</f>
        <v>2.9858888888888888</v>
      </c>
      <c r="E54" s="74">
        <f t="shared" si="5"/>
        <v>0.4858333333333329</v>
      </c>
      <c r="F54" s="74">
        <f t="shared" si="5"/>
        <v>0.44861111111111018</v>
      </c>
      <c r="G54" s="74">
        <f t="shared" si="5"/>
        <v>7.4444444444443647E-3</v>
      </c>
      <c r="H54" s="68" t="str">
        <f>IF(AND(E54&lt;$E$34,F54&lt;$E$34,G54&lt;$E$34),"Fim!!","")</f>
        <v/>
      </c>
    </row>
    <row r="55" spans="1:8">
      <c r="A55" s="68">
        <v>3</v>
      </c>
      <c r="B55" s="74">
        <f>(1/$B$18)*($E$18-$C$18*C54-$D$18*D54)</f>
        <v>5.0115138888888886</v>
      </c>
      <c r="C55" s="74">
        <f>(1/$C$19)*($E$19-$B$19*B55-$D$19*D54)</f>
        <v>3.9914583333333331</v>
      </c>
      <c r="D55" s="74">
        <f>(1/$D$20)*($E$20-$B$20*B55-$C$20*C55)</f>
        <v>3.0005944444444448</v>
      </c>
      <c r="E55" s="74">
        <f t="shared" si="5"/>
        <v>0.11401388888888864</v>
      </c>
      <c r="F55" s="74">
        <f t="shared" si="5"/>
        <v>4.0486111111110112E-2</v>
      </c>
      <c r="G55" s="74">
        <f t="shared" si="5"/>
        <v>1.4705555555555971E-2</v>
      </c>
      <c r="H55" s="68" t="str">
        <f>IF(AND(E55&lt;$E$34,F55&lt;$E$34,G55&lt;$E$34),"Fim!!","")</f>
        <v/>
      </c>
    </row>
    <row r="56" spans="1:8">
      <c r="A56" s="68">
        <v>4</v>
      </c>
      <c r="B56" s="74">
        <f>(1/$B$18)*($E$18-$C$18*C55-$D$18*D55)</f>
        <v>4.9977159722222222</v>
      </c>
      <c r="C56" s="74">
        <f>(1/$C$19)*($E$19-$B$19*B56-$D$19*D55)</f>
        <v>4.0009594907407404</v>
      </c>
      <c r="D56" s="74">
        <f>(1/$D$20)*($E$20-$B$20*B56-$C$20*C56)</f>
        <v>2.9997350925925925</v>
      </c>
      <c r="E56" s="74">
        <f t="shared" si="5"/>
        <v>1.379791666666641E-2</v>
      </c>
      <c r="F56" s="74">
        <f t="shared" si="5"/>
        <v>9.5011574074073124E-3</v>
      </c>
      <c r="G56" s="74">
        <f t="shared" si="5"/>
        <v>8.5935185185226359E-4</v>
      </c>
      <c r="H56" s="68" t="str">
        <f>IF(AND(E56&lt;$E$34,F56&lt;$E$34,G56&lt;$E$34),"Fim!!","")</f>
        <v>Fim!!</v>
      </c>
    </row>
  </sheetData>
  <mergeCells count="2">
    <mergeCell ref="A1:J1"/>
    <mergeCell ref="A2:C2"/>
  </mergeCells>
  <pageMargins left="0" right="0" top="0.19645669291338583" bottom="0.19645669291338583" header="0" footer="0"/>
  <headerFoot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8CACA-DF87-42D6-A9F1-EE096BB7B94A}">
  <dimension ref="A1:K49"/>
  <sheetViews>
    <sheetView workbookViewId="0">
      <selection sqref="A1:K1"/>
    </sheetView>
  </sheetViews>
  <sheetFormatPr defaultRowHeight="13.8"/>
  <cols>
    <col min="1" max="1" width="7.33203125" style="76" customWidth="1"/>
    <col min="2" max="3" width="7.21875" style="76" customWidth="1"/>
    <col min="4" max="4" width="6.88671875" style="76" customWidth="1"/>
    <col min="5" max="5" width="7.88671875" style="76" customWidth="1"/>
    <col min="6" max="6" width="8.109375" style="76" customWidth="1"/>
    <col min="7" max="7" width="9.33203125" style="76" customWidth="1"/>
    <col min="8" max="8" width="10" style="76" customWidth="1"/>
    <col min="9" max="9" width="5.21875" style="76" customWidth="1"/>
    <col min="10" max="10" width="9.44140625" style="76" customWidth="1"/>
    <col min="11" max="11" width="11.88671875" style="76" customWidth="1"/>
    <col min="12" max="16384" width="8.88671875" style="76"/>
  </cols>
  <sheetData>
    <row r="1" spans="1:11" ht="15">
      <c r="A1" s="75" t="s">
        <v>40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52.35" customHeight="1">
      <c r="A2" s="77"/>
      <c r="B2" s="77"/>
      <c r="C2" s="77"/>
      <c r="D2" s="78"/>
      <c r="E2" s="78"/>
      <c r="F2" s="78"/>
      <c r="G2" s="78"/>
      <c r="H2" s="78"/>
      <c r="I2" s="78"/>
      <c r="J2" s="78"/>
    </row>
    <row r="3" spans="1:11" ht="15">
      <c r="F3" s="78"/>
      <c r="G3" s="78"/>
      <c r="H3" s="78"/>
      <c r="I3" s="78"/>
      <c r="J3" s="78"/>
    </row>
    <row r="4" spans="1:11" ht="15.6">
      <c r="A4" s="79" t="s">
        <v>2</v>
      </c>
      <c r="F4" s="78"/>
      <c r="G4" s="78"/>
      <c r="H4" s="78"/>
      <c r="I4" s="78"/>
      <c r="J4" s="78"/>
    </row>
    <row r="5" spans="1:11" ht="15.6">
      <c r="A5" s="78"/>
      <c r="B5" s="78"/>
      <c r="C5" s="80" t="s">
        <v>5</v>
      </c>
      <c r="D5" s="80"/>
      <c r="E5" s="80" t="s">
        <v>6</v>
      </c>
      <c r="F5" s="78"/>
      <c r="G5" s="78"/>
      <c r="H5" s="78"/>
      <c r="I5" s="78"/>
      <c r="J5" s="78"/>
    </row>
    <row r="6" spans="1:11" ht="15">
      <c r="A6" s="78"/>
      <c r="B6" s="81">
        <v>1</v>
      </c>
      <c r="C6" s="81">
        <v>8</v>
      </c>
      <c r="D6" s="81">
        <v>-1</v>
      </c>
      <c r="E6" s="82">
        <v>16</v>
      </c>
      <c r="F6" s="78"/>
      <c r="G6" s="78"/>
      <c r="H6" s="78"/>
      <c r="I6" s="78"/>
      <c r="J6" s="78"/>
    </row>
    <row r="7" spans="1:11" ht="15.6">
      <c r="A7" s="80"/>
      <c r="B7" s="81">
        <v>6</v>
      </c>
      <c r="C7" s="81">
        <v>-1</v>
      </c>
      <c r="D7" s="81">
        <v>1</v>
      </c>
      <c r="E7" s="82">
        <v>7</v>
      </c>
      <c r="F7" s="78"/>
      <c r="G7" s="78"/>
      <c r="H7" s="78"/>
      <c r="I7" s="78"/>
      <c r="J7" s="78"/>
    </row>
    <row r="8" spans="1:11" ht="15">
      <c r="A8" s="78"/>
      <c r="B8" s="81">
        <v>1</v>
      </c>
      <c r="C8" s="81">
        <v>1</v>
      </c>
      <c r="D8" s="81">
        <v>5</v>
      </c>
      <c r="E8" s="82">
        <v>18</v>
      </c>
      <c r="F8" s="78"/>
      <c r="G8" s="78"/>
      <c r="H8" s="78"/>
      <c r="I8" s="78"/>
      <c r="J8" s="78"/>
    </row>
    <row r="9" spans="1:11" ht="15">
      <c r="A9" s="78"/>
      <c r="B9" s="78"/>
      <c r="C9" s="78"/>
      <c r="D9" s="78"/>
      <c r="E9" s="78"/>
      <c r="F9" s="78"/>
      <c r="G9" s="78"/>
      <c r="H9" s="78"/>
      <c r="I9" s="78"/>
      <c r="J9" s="78"/>
    </row>
    <row r="10" spans="1:11" ht="15.6">
      <c r="A10" s="79" t="s">
        <v>10</v>
      </c>
      <c r="B10" s="78"/>
      <c r="C10" s="78"/>
      <c r="D10" s="78"/>
      <c r="E10" s="78"/>
      <c r="F10" s="78"/>
      <c r="G10" s="78"/>
      <c r="H10" s="78"/>
      <c r="I10" s="78"/>
      <c r="J10" s="78"/>
    </row>
    <row r="11" spans="1:11" ht="15.6">
      <c r="A11" s="79"/>
      <c r="B11" s="78"/>
      <c r="C11" s="78" t="s">
        <v>11</v>
      </c>
      <c r="D11" s="78"/>
      <c r="E11" s="78"/>
      <c r="F11" s="78"/>
      <c r="G11" s="78"/>
      <c r="H11" s="78"/>
      <c r="I11" s="78"/>
      <c r="J11" s="78"/>
    </row>
    <row r="12" spans="1:11" ht="15.6">
      <c r="A12" s="83" t="s">
        <v>12</v>
      </c>
      <c r="B12" s="84">
        <f>ABS(B6)</f>
        <v>1</v>
      </c>
      <c r="C12" s="84">
        <f>ABS(C6)+ABS(D6)</f>
        <v>9</v>
      </c>
      <c r="D12" s="85" t="str">
        <f>IF(B12&gt;=C12, "ok", "Fail")</f>
        <v>Fail</v>
      </c>
      <c r="E12" s="78"/>
      <c r="F12" s="78"/>
      <c r="G12" s="78"/>
      <c r="H12" s="78"/>
      <c r="I12" s="78"/>
      <c r="J12" s="78"/>
    </row>
    <row r="13" spans="1:11" ht="15.6">
      <c r="A13" s="83" t="s">
        <v>13</v>
      </c>
      <c r="B13" s="84">
        <f>ABS(C7)</f>
        <v>1</v>
      </c>
      <c r="C13" s="84">
        <f>ABS(B7)+ABS(D7)</f>
        <v>7</v>
      </c>
      <c r="D13" s="85" t="str">
        <f>IF(B13&gt;=C13, "ok", "Fail")</f>
        <v>Fail</v>
      </c>
      <c r="E13" s="78"/>
      <c r="F13" s="78"/>
      <c r="G13" s="78"/>
      <c r="H13" s="78"/>
      <c r="I13" s="78"/>
      <c r="J13" s="78"/>
    </row>
    <row r="14" spans="1:11" ht="15.6">
      <c r="A14" s="83" t="s">
        <v>14</v>
      </c>
      <c r="B14" s="84">
        <f>ABS(D8)</f>
        <v>5</v>
      </c>
      <c r="C14" s="84">
        <f>ABS(B8)+ABS(C8)</f>
        <v>2</v>
      </c>
      <c r="D14" s="85" t="str">
        <f>IF(B14&gt;=C14, "ok", "Fail")</f>
        <v>ok</v>
      </c>
      <c r="E14" s="78"/>
      <c r="F14" s="78"/>
      <c r="G14" s="78"/>
      <c r="H14" s="78"/>
      <c r="I14" s="78"/>
      <c r="J14" s="78"/>
    </row>
    <row r="15" spans="1:11" ht="15.6">
      <c r="F15" s="78"/>
      <c r="G15" s="86" t="s">
        <v>1</v>
      </c>
      <c r="H15" s="78"/>
      <c r="J15" s="86" t="s">
        <v>1</v>
      </c>
      <c r="K15" s="78"/>
    </row>
    <row r="16" spans="1:11" ht="15.6">
      <c r="A16" s="79" t="s">
        <v>2</v>
      </c>
      <c r="F16" s="78"/>
      <c r="G16" s="87" t="s">
        <v>3</v>
      </c>
      <c r="H16" s="87" t="s">
        <v>3</v>
      </c>
      <c r="I16" s="88"/>
      <c r="J16" s="87" t="s">
        <v>4</v>
      </c>
      <c r="K16" s="87" t="s">
        <v>4</v>
      </c>
    </row>
    <row r="17" spans="1:11" ht="15.6">
      <c r="A17" s="78"/>
      <c r="B17" s="78"/>
      <c r="C17" s="80" t="s">
        <v>5</v>
      </c>
      <c r="D17" s="80"/>
      <c r="E17" s="80" t="s">
        <v>6</v>
      </c>
      <c r="F17" s="78"/>
      <c r="G17" s="87" t="s">
        <v>7</v>
      </c>
      <c r="H17" s="87" t="s">
        <v>6</v>
      </c>
      <c r="J17" s="87" t="s">
        <v>7</v>
      </c>
      <c r="K17" s="87" t="s">
        <v>6</v>
      </c>
    </row>
    <row r="18" spans="1:11" ht="15">
      <c r="A18" s="78"/>
      <c r="B18" s="81">
        <v>6</v>
      </c>
      <c r="C18" s="81">
        <v>-1</v>
      </c>
      <c r="D18" s="81">
        <v>1</v>
      </c>
      <c r="E18" s="82">
        <v>7</v>
      </c>
      <c r="F18" s="78"/>
      <c r="G18" s="89">
        <f>B42</f>
        <v>1.0498611111111109</v>
      </c>
      <c r="H18" s="90">
        <f t="array" ref="H18:H20">MMULT(B18:D20,G18:G20)</f>
        <v>6.9983854166666664</v>
      </c>
      <c r="J18" s="89">
        <f>B42</f>
        <v>1.0498611111111109</v>
      </c>
      <c r="K18" s="90">
        <f t="array" ref="K18:K20">MMULT(B18:D20,J18:J20)</f>
        <v>7.0054574074074063</v>
      </c>
    </row>
    <row r="19" spans="1:11" ht="15.6">
      <c r="A19" s="80"/>
      <c r="B19" s="81">
        <v>1</v>
      </c>
      <c r="C19" s="81">
        <v>8</v>
      </c>
      <c r="D19" s="81">
        <v>-1</v>
      </c>
      <c r="E19" s="82">
        <v>16</v>
      </c>
      <c r="F19" s="78"/>
      <c r="G19" s="89">
        <f>C42</f>
        <v>2.2378645833333333</v>
      </c>
      <c r="H19" s="90">
        <v>16.015694444444442</v>
      </c>
      <c r="J19" s="89">
        <f>C49</f>
        <v>2.2365532407407409</v>
      </c>
      <c r="K19" s="90">
        <v>15.999443055555556</v>
      </c>
    </row>
    <row r="20" spans="1:11" ht="15">
      <c r="A20" s="78"/>
      <c r="B20" s="81">
        <v>1</v>
      </c>
      <c r="C20" s="81">
        <v>1</v>
      </c>
      <c r="D20" s="81">
        <v>5</v>
      </c>
      <c r="E20" s="82">
        <v>18</v>
      </c>
      <c r="F20" s="78"/>
      <c r="G20" s="89">
        <f>D42</f>
        <v>2.9370833333333337</v>
      </c>
      <c r="H20" s="90">
        <v>17.973142361111112</v>
      </c>
      <c r="J20" s="89">
        <f>D49</f>
        <v>2.9428439814814817</v>
      </c>
      <c r="K20" s="90">
        <v>18.000634259259261</v>
      </c>
    </row>
    <row r="21" spans="1:11" ht="15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</row>
    <row r="22" spans="1:11" ht="15.6">
      <c r="A22" s="79" t="s">
        <v>10</v>
      </c>
      <c r="B22" s="78"/>
      <c r="C22" s="78"/>
      <c r="D22" s="78"/>
      <c r="E22" s="78"/>
      <c r="F22" s="78"/>
      <c r="G22" s="78"/>
      <c r="H22" s="78"/>
      <c r="I22" s="78"/>
      <c r="J22" s="78"/>
    </row>
    <row r="23" spans="1:11" ht="15.6">
      <c r="A23" s="79"/>
      <c r="B23" s="78"/>
      <c r="C23" s="78" t="s">
        <v>11</v>
      </c>
      <c r="D23" s="78"/>
      <c r="E23" s="78"/>
      <c r="F23" s="78"/>
      <c r="G23" s="78"/>
      <c r="H23" s="78"/>
      <c r="I23" s="78"/>
      <c r="J23" s="78"/>
    </row>
    <row r="24" spans="1:11" ht="15.6">
      <c r="A24" s="83" t="s">
        <v>12</v>
      </c>
      <c r="B24" s="84">
        <f>ABS(B18)</f>
        <v>6</v>
      </c>
      <c r="C24" s="84">
        <f>ABS(C18)+ABS(D18)</f>
        <v>2</v>
      </c>
      <c r="D24" s="85" t="str">
        <f>IF(B24&gt;=C24, "ok", "Fail")</f>
        <v>ok</v>
      </c>
      <c r="E24" s="78"/>
      <c r="F24" s="78"/>
      <c r="G24" s="78"/>
      <c r="H24" s="78"/>
      <c r="I24" s="78"/>
      <c r="J24" s="78"/>
    </row>
    <row r="25" spans="1:11" ht="15.6">
      <c r="A25" s="83" t="s">
        <v>13</v>
      </c>
      <c r="B25" s="84">
        <f>ABS(C19)</f>
        <v>8</v>
      </c>
      <c r="C25" s="84">
        <f>ABS(B19)+ABS(D19)</f>
        <v>2</v>
      </c>
      <c r="D25" s="85" t="str">
        <f>IF(B25&gt;=C25, "ok", "Fail")</f>
        <v>ok</v>
      </c>
      <c r="E25" s="78"/>
      <c r="F25" s="78"/>
      <c r="G25" s="78"/>
      <c r="H25" s="78"/>
      <c r="I25" s="78"/>
      <c r="J25" s="78"/>
    </row>
    <row r="26" spans="1:11" ht="15.6">
      <c r="A26" s="83" t="s">
        <v>14</v>
      </c>
      <c r="B26" s="84">
        <f>ABS(D20)</f>
        <v>5</v>
      </c>
      <c r="C26" s="84">
        <f>ABS(B20)+ABS(C20)</f>
        <v>2</v>
      </c>
      <c r="D26" s="85" t="str">
        <f>IF(B26&gt;=C26, "ok", "Fail")</f>
        <v>ok</v>
      </c>
      <c r="E26" s="78"/>
      <c r="F26" s="78"/>
      <c r="G26" s="78"/>
      <c r="H26" s="78"/>
      <c r="I26" s="78"/>
      <c r="J26" s="78"/>
    </row>
    <row r="27" spans="1:11" ht="15">
      <c r="A27" s="78"/>
      <c r="B27" s="78"/>
      <c r="C27" s="78"/>
      <c r="D27" s="78"/>
      <c r="E27" s="78"/>
      <c r="F27" s="78"/>
      <c r="G27" s="78"/>
      <c r="H27" s="78"/>
      <c r="I27" s="78"/>
      <c r="J27" s="78"/>
    </row>
    <row r="28" spans="1:11" ht="15.6">
      <c r="A28" s="80" t="s">
        <v>15</v>
      </c>
      <c r="B28" s="78"/>
      <c r="C28" s="78"/>
      <c r="D28" s="78"/>
      <c r="E28" s="78"/>
      <c r="F28" s="78"/>
      <c r="G28" s="78"/>
      <c r="H28" s="78"/>
      <c r="I28" s="78"/>
      <c r="J28" s="78"/>
    </row>
    <row r="29" spans="1:11" ht="15">
      <c r="A29" s="78"/>
      <c r="B29" s="78"/>
      <c r="C29" s="78"/>
      <c r="D29" s="78"/>
      <c r="E29" s="78"/>
      <c r="F29" s="78"/>
      <c r="G29" s="78"/>
      <c r="H29" s="78"/>
      <c r="I29" s="78"/>
      <c r="J29" s="78"/>
    </row>
    <row r="30" spans="1:11">
      <c r="A30" s="91" t="s">
        <v>22</v>
      </c>
    </row>
    <row r="31" spans="1:11" ht="15">
      <c r="A31" s="78"/>
      <c r="B31" s="92" t="s">
        <v>23</v>
      </c>
      <c r="C31" s="92" t="s">
        <v>24</v>
      </c>
      <c r="D31" s="92" t="s">
        <v>25</v>
      </c>
    </row>
    <row r="32" spans="1:11" ht="15">
      <c r="A32" s="78"/>
      <c r="B32" s="93">
        <v>0</v>
      </c>
      <c r="C32" s="93">
        <v>0</v>
      </c>
      <c r="D32" s="93">
        <v>0</v>
      </c>
    </row>
    <row r="33" spans="1:8" ht="15">
      <c r="A33" s="78"/>
    </row>
    <row r="34" spans="1:8">
      <c r="A34" s="91" t="s">
        <v>26</v>
      </c>
      <c r="D34" s="94" t="s">
        <v>27</v>
      </c>
      <c r="E34" s="94">
        <v>0.05</v>
      </c>
    </row>
    <row r="35" spans="1:8">
      <c r="A35" s="91"/>
    </row>
    <row r="36" spans="1:8" ht="15.6">
      <c r="A36" s="95" t="s">
        <v>34</v>
      </c>
    </row>
    <row r="37" spans="1:8">
      <c r="A37" s="93" t="s">
        <v>28</v>
      </c>
      <c r="B37" s="96" t="s">
        <v>23</v>
      </c>
      <c r="C37" s="96" t="s">
        <v>24</v>
      </c>
      <c r="D37" s="96" t="s">
        <v>25</v>
      </c>
      <c r="E37" s="97" t="s">
        <v>29</v>
      </c>
      <c r="F37" s="97" t="s">
        <v>30</v>
      </c>
      <c r="G37" s="97" t="s">
        <v>31</v>
      </c>
      <c r="H37" s="93"/>
    </row>
    <row r="38" spans="1:8">
      <c r="A38" s="93">
        <v>0</v>
      </c>
      <c r="B38" s="98">
        <f>B32</f>
        <v>0</v>
      </c>
      <c r="C38" s="98">
        <f>C32</f>
        <v>0</v>
      </c>
      <c r="D38" s="98">
        <f>D32</f>
        <v>0</v>
      </c>
      <c r="E38" s="98"/>
      <c r="F38" s="98"/>
      <c r="G38" s="98"/>
      <c r="H38" s="93"/>
    </row>
    <row r="39" spans="1:8">
      <c r="A39" s="93">
        <v>1</v>
      </c>
      <c r="B39" s="98">
        <f>(1/$B$18)*($E$18-$C$18*C38-$D$18*D38)</f>
        <v>1.1666666666666665</v>
      </c>
      <c r="C39" s="98">
        <f>(1/$C$19)*($E$19-$B$19*B38-$D$19*D38)</f>
        <v>2</v>
      </c>
      <c r="D39" s="98">
        <f>(1/$D$20)*($E$20-$B$20*B38-$C$20*C38)</f>
        <v>3.6</v>
      </c>
      <c r="E39" s="98">
        <f t="shared" ref="E39:G42" si="0">ABS(B39-B38)</f>
        <v>1.1666666666666665</v>
      </c>
      <c r="F39" s="98">
        <f t="shared" si="0"/>
        <v>2</v>
      </c>
      <c r="G39" s="98">
        <f t="shared" si="0"/>
        <v>3.6</v>
      </c>
      <c r="H39" s="93" t="str">
        <f>IF(AND(E39&lt;$E$34,F39&lt;$E$34,G39&lt;$E$34),"Fim!!","")</f>
        <v/>
      </c>
    </row>
    <row r="40" spans="1:8">
      <c r="A40" s="93">
        <v>2</v>
      </c>
      <c r="B40" s="98">
        <f>(1/$B$18)*($E$18-$C$18*C39-$D$18*D39)</f>
        <v>0.9</v>
      </c>
      <c r="C40" s="98">
        <f>(1/$C$19)*($E$19-$B$19*B39-$D$19*D39)</f>
        <v>2.3041666666666667</v>
      </c>
      <c r="D40" s="98">
        <f>(1/$D$20)*($E$20-$B$20*B39-$C$20*C39)</f>
        <v>2.9666666666666668</v>
      </c>
      <c r="E40" s="98">
        <f t="shared" si="0"/>
        <v>0.2666666666666665</v>
      </c>
      <c r="F40" s="98">
        <f t="shared" si="0"/>
        <v>0.3041666666666667</v>
      </c>
      <c r="G40" s="98">
        <f t="shared" si="0"/>
        <v>0.6333333333333333</v>
      </c>
      <c r="H40" s="93" t="str">
        <f>IF(AND(E40&lt;$E$34,F40&lt;$E$34,G40&lt;$E$34),"Fim!!","")</f>
        <v/>
      </c>
    </row>
    <row r="41" spans="1:8">
      <c r="A41" s="93">
        <v>3</v>
      </c>
      <c r="B41" s="98">
        <f>(1/$B$18)*($E$18-$C$18*C40-$D$18*D40)</f>
        <v>1.0562499999999999</v>
      </c>
      <c r="C41" s="98">
        <f>(1/$C$19)*($E$19-$B$19*B40-$D$19*D40)</f>
        <v>2.2583333333333333</v>
      </c>
      <c r="D41" s="98">
        <f>(1/$D$20)*($E$20-$B$20*B40-$C$20*C40)</f>
        <v>2.9591666666666669</v>
      </c>
      <c r="E41" s="98">
        <f t="shared" si="0"/>
        <v>0.15624999999999989</v>
      </c>
      <c r="F41" s="98">
        <f t="shared" si="0"/>
        <v>4.5833333333333393E-2</v>
      </c>
      <c r="G41" s="98">
        <f t="shared" si="0"/>
        <v>7.4999999999998401E-3</v>
      </c>
      <c r="H41" s="93" t="str">
        <f>IF(AND(E41&lt;$E$34,F41&lt;$E$34,G41&lt;$E$34),"Fim!!","")</f>
        <v/>
      </c>
    </row>
    <row r="42" spans="1:8">
      <c r="A42" s="93">
        <v>4</v>
      </c>
      <c r="B42" s="98">
        <f>(1/$B$18)*($E$18-$C$18*C41-$D$18*D41)</f>
        <v>1.0498611111111109</v>
      </c>
      <c r="C42" s="98">
        <f>(1/$C$19)*($E$19-$B$19*B41-$D$19*D41)</f>
        <v>2.2378645833333333</v>
      </c>
      <c r="D42" s="98">
        <f>(1/$D$20)*($E$20-$B$20*B41-$C$20*C41)</f>
        <v>2.9370833333333337</v>
      </c>
      <c r="E42" s="98">
        <f t="shared" si="0"/>
        <v>6.3888888888889994E-3</v>
      </c>
      <c r="F42" s="98">
        <f t="shared" si="0"/>
        <v>2.0468750000000036E-2</v>
      </c>
      <c r="G42" s="98">
        <f t="shared" si="0"/>
        <v>2.2083333333333233E-2</v>
      </c>
      <c r="H42" s="93" t="str">
        <f>IF(AND(E42&lt;$E$34,F42&lt;$E$34,G42&lt;$E$34),"Fim!!","")</f>
        <v>Fim!!</v>
      </c>
    </row>
    <row r="44" spans="1:8" ht="15.6">
      <c r="A44" s="79" t="s">
        <v>35</v>
      </c>
    </row>
    <row r="45" spans="1:8">
      <c r="A45" s="93" t="s">
        <v>28</v>
      </c>
      <c r="B45" s="96" t="s">
        <v>23</v>
      </c>
      <c r="C45" s="96" t="s">
        <v>24</v>
      </c>
      <c r="D45" s="96" t="s">
        <v>25</v>
      </c>
      <c r="E45" s="97" t="s">
        <v>29</v>
      </c>
      <c r="F45" s="97" t="s">
        <v>30</v>
      </c>
      <c r="G45" s="97" t="s">
        <v>31</v>
      </c>
      <c r="H45" s="93"/>
    </row>
    <row r="46" spans="1:8">
      <c r="A46" s="93">
        <v>0</v>
      </c>
      <c r="B46" s="98">
        <f>B32</f>
        <v>0</v>
      </c>
      <c r="C46" s="98">
        <f>(1/$C$19)*($E$19-$B$19*B46-$D$20*D32)</f>
        <v>2</v>
      </c>
      <c r="D46" s="98">
        <f>1/$D$20*($E$20-$B$20*B46-$C$20*C46)</f>
        <v>3.2</v>
      </c>
      <c r="E46" s="98"/>
      <c r="F46" s="98"/>
      <c r="G46" s="98"/>
      <c r="H46" s="93"/>
    </row>
    <row r="47" spans="1:8">
      <c r="A47" s="93">
        <v>1</v>
      </c>
      <c r="B47" s="98">
        <f>(1/$B$18)*($E$18-$C$18*C46-$D$18*D46)</f>
        <v>0.96666666666666656</v>
      </c>
      <c r="C47" s="98">
        <f>(1/$C$19)*($E$19-$B$19*B47-$D$19*D46)</f>
        <v>2.2791666666666668</v>
      </c>
      <c r="D47" s="98">
        <f>(1/$D$20)*($E$20-$B$20*B47-$C$20*C47)</f>
        <v>2.9508333333333336</v>
      </c>
      <c r="E47" s="98">
        <f t="shared" ref="E47:G49" si="1">ABS(B47-B46)</f>
        <v>0.96666666666666656</v>
      </c>
      <c r="F47" s="98">
        <f t="shared" si="1"/>
        <v>0.27916666666666679</v>
      </c>
      <c r="G47" s="98">
        <f t="shared" si="1"/>
        <v>0.24916666666666654</v>
      </c>
      <c r="H47" s="93" t="str">
        <f>IF(AND(E47&lt;$E$34,F47&lt;$E$34,G47&lt;$E$34),"Fim!!","")</f>
        <v/>
      </c>
    </row>
    <row r="48" spans="1:8">
      <c r="A48" s="93">
        <v>2</v>
      </c>
      <c r="B48" s="98">
        <f>(1/$B$18)*($E$18-$C$18*C47-$D$18*D47)</f>
        <v>1.0547222222222221</v>
      </c>
      <c r="C48" s="98">
        <f>(1/$C$19)*($E$19-$B$19*B48-$D$19*D47)</f>
        <v>2.2370138888888889</v>
      </c>
      <c r="D48" s="98">
        <f>(1/$D$20)*($E$20-$B$20*B48-$C$20*C48)</f>
        <v>2.9416527777777781</v>
      </c>
      <c r="E48" s="98">
        <f t="shared" si="1"/>
        <v>8.8055555555555554E-2</v>
      </c>
      <c r="F48" s="98">
        <f t="shared" si="1"/>
        <v>4.2152777777777928E-2</v>
      </c>
      <c r="G48" s="98">
        <f t="shared" si="1"/>
        <v>9.1805555555555252E-3</v>
      </c>
      <c r="H48" s="93" t="str">
        <f>IF(AND(E48&lt;$E$34,F48&lt;$E$34,G48&lt;$E$34),"Fim!!","")</f>
        <v/>
      </c>
    </row>
    <row r="49" spans="1:8">
      <c r="A49" s="93">
        <v>3</v>
      </c>
      <c r="B49" s="98">
        <f>(1/$B$18)*($E$18-$C$18*C48-$D$18*D48)</f>
        <v>1.0492268518518517</v>
      </c>
      <c r="C49" s="98">
        <f>(1/$C$19)*($E$19-$B$19*B49-$D$19*D48)</f>
        <v>2.2365532407407409</v>
      </c>
      <c r="D49" s="98">
        <f>(1/$D$20)*($E$20-$B$20*B49-$C$20*C49)</f>
        <v>2.9428439814814817</v>
      </c>
      <c r="E49" s="98">
        <f t="shared" si="1"/>
        <v>5.4953703703704004E-3</v>
      </c>
      <c r="F49" s="98">
        <f t="shared" si="1"/>
        <v>4.606481481479463E-4</v>
      </c>
      <c r="G49" s="98">
        <f t="shared" si="1"/>
        <v>1.1912037037036249E-3</v>
      </c>
      <c r="H49" s="93" t="str">
        <f>IF(AND(E49&lt;$E$34,F49&lt;$E$34,G49&lt;$E$34),"Fim!!","")</f>
        <v>Fim!!</v>
      </c>
    </row>
  </sheetData>
  <mergeCells count="2">
    <mergeCell ref="A1:K1"/>
    <mergeCell ref="A2:C2"/>
  </mergeCells>
  <pageMargins left="0.59094488188976368" right="0.4188976377952755" top="0.39370078740157477" bottom="0.39370078740157477" header="0" footer="0"/>
  <headerFooter alignWithMargins="0"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6398-FAFA-43D6-B867-F8BDB801BAD6}">
  <dimension ref="A1:K52"/>
  <sheetViews>
    <sheetView tabSelected="1" workbookViewId="0">
      <selection sqref="A1:K1"/>
    </sheetView>
  </sheetViews>
  <sheetFormatPr defaultRowHeight="13.8"/>
  <cols>
    <col min="1" max="1" width="7.33203125" style="100" customWidth="1"/>
    <col min="2" max="2" width="8.109375" style="100" customWidth="1"/>
    <col min="3" max="3" width="7.33203125" style="100" customWidth="1"/>
    <col min="4" max="4" width="6.88671875" style="100" customWidth="1"/>
    <col min="5" max="6" width="6.33203125" style="100" customWidth="1"/>
    <col min="7" max="7" width="8.5546875" style="100" customWidth="1"/>
    <col min="8" max="8" width="9.5546875" style="100" customWidth="1"/>
    <col min="9" max="9" width="4.5546875" style="100" customWidth="1"/>
    <col min="10" max="10" width="8" style="100" customWidth="1"/>
    <col min="11" max="11" width="9.6640625" style="100" customWidth="1"/>
    <col min="12" max="16384" width="8.88671875" style="100"/>
  </cols>
  <sheetData>
    <row r="1" spans="1:11" ht="15">
      <c r="A1" s="99" t="s">
        <v>41</v>
      </c>
      <c r="B1" s="99"/>
      <c r="C1" s="99"/>
      <c r="D1" s="99"/>
      <c r="E1" s="99"/>
      <c r="F1" s="99"/>
      <c r="G1" s="99"/>
      <c r="H1" s="99"/>
      <c r="I1" s="99"/>
      <c r="J1" s="99"/>
      <c r="K1" s="99"/>
    </row>
    <row r="2" spans="1:11" ht="52.35" customHeight="1">
      <c r="A2" s="101"/>
      <c r="B2" s="101"/>
      <c r="C2" s="101"/>
      <c r="D2" s="102"/>
      <c r="E2" s="102"/>
      <c r="F2" s="102"/>
      <c r="G2" s="102"/>
      <c r="H2" s="102"/>
      <c r="I2" s="102"/>
      <c r="J2" s="102"/>
    </row>
    <row r="3" spans="1:11" ht="15">
      <c r="F3" s="102"/>
      <c r="G3" s="102"/>
      <c r="H3" s="102"/>
      <c r="I3" s="102"/>
      <c r="J3" s="102"/>
    </row>
    <row r="4" spans="1:11" ht="15.6">
      <c r="A4" s="103" t="s">
        <v>2</v>
      </c>
      <c r="F4" s="102"/>
      <c r="G4" s="102"/>
      <c r="H4" s="102"/>
      <c r="I4" s="102"/>
      <c r="J4" s="102"/>
    </row>
    <row r="5" spans="1:11" ht="15.6">
      <c r="A5" s="102"/>
      <c r="B5" s="102"/>
      <c r="C5" s="104" t="s">
        <v>5</v>
      </c>
      <c r="D5" s="104"/>
      <c r="E5" s="104" t="s">
        <v>6</v>
      </c>
      <c r="F5" s="102"/>
      <c r="G5" s="102"/>
      <c r="H5" s="102"/>
      <c r="I5" s="102"/>
      <c r="J5" s="102"/>
    </row>
    <row r="6" spans="1:11" ht="15">
      <c r="A6" s="102"/>
      <c r="B6" s="105">
        <v>7</v>
      </c>
      <c r="C6" s="105">
        <v>1</v>
      </c>
      <c r="D6" s="105">
        <v>-1</v>
      </c>
      <c r="E6" s="106">
        <v>13</v>
      </c>
      <c r="F6" s="102"/>
      <c r="G6" s="102"/>
      <c r="H6" s="102"/>
      <c r="I6" s="102"/>
      <c r="J6" s="102"/>
    </row>
    <row r="7" spans="1:11" ht="15.6">
      <c r="A7" s="104"/>
      <c r="B7" s="105">
        <v>1</v>
      </c>
      <c r="C7" s="105">
        <v>8</v>
      </c>
      <c r="D7" s="105">
        <v>1</v>
      </c>
      <c r="E7" s="106">
        <v>30</v>
      </c>
      <c r="F7" s="102"/>
      <c r="G7" s="102"/>
      <c r="H7" s="102"/>
      <c r="I7" s="102"/>
      <c r="J7" s="102"/>
    </row>
    <row r="8" spans="1:11" ht="15">
      <c r="A8" s="102"/>
      <c r="B8" s="105">
        <v>2</v>
      </c>
      <c r="C8" s="105">
        <v>-1</v>
      </c>
      <c r="D8" s="105">
        <v>5</v>
      </c>
      <c r="E8" s="106">
        <v>21</v>
      </c>
      <c r="F8" s="102"/>
      <c r="G8" s="102"/>
      <c r="H8" s="102"/>
      <c r="I8" s="102"/>
      <c r="J8" s="102"/>
    </row>
    <row r="9" spans="1:11" ht="15">
      <c r="A9" s="102"/>
      <c r="B9" s="102"/>
      <c r="C9" s="102"/>
      <c r="D9" s="102"/>
      <c r="E9" s="102"/>
      <c r="F9" s="102"/>
      <c r="G9" s="102"/>
      <c r="H9" s="102"/>
      <c r="I9" s="102"/>
      <c r="J9" s="102"/>
    </row>
    <row r="10" spans="1:11" ht="15.6">
      <c r="A10" s="103" t="s">
        <v>10</v>
      </c>
      <c r="B10" s="102"/>
      <c r="C10" s="102"/>
      <c r="D10" s="102"/>
      <c r="E10" s="102"/>
      <c r="F10" s="102"/>
      <c r="G10" s="102"/>
      <c r="H10" s="102"/>
      <c r="I10" s="102"/>
      <c r="J10" s="102"/>
    </row>
    <row r="11" spans="1:11" ht="15.6">
      <c r="A11" s="103"/>
      <c r="B11" s="102"/>
      <c r="C11" s="102" t="s">
        <v>11</v>
      </c>
      <c r="D11" s="102"/>
      <c r="E11" s="102"/>
      <c r="F11" s="102"/>
      <c r="G11" s="102"/>
      <c r="H11" s="102"/>
      <c r="I11" s="102"/>
      <c r="J11" s="102"/>
    </row>
    <row r="12" spans="1:11" ht="15.6">
      <c r="A12" s="107" t="s">
        <v>12</v>
      </c>
      <c r="B12" s="108">
        <f>ABS(B6)</f>
        <v>7</v>
      </c>
      <c r="C12" s="108">
        <f>ABS(C6)+ABS(D6)</f>
        <v>2</v>
      </c>
      <c r="D12" s="109" t="str">
        <f>IF(B12&gt;=C12, "ok", "Fail")</f>
        <v>ok</v>
      </c>
      <c r="E12" s="102"/>
      <c r="F12" s="102"/>
      <c r="G12" s="102"/>
      <c r="H12" s="102"/>
      <c r="I12" s="102"/>
      <c r="J12" s="102"/>
    </row>
    <row r="13" spans="1:11" ht="15.6">
      <c r="A13" s="107" t="s">
        <v>13</v>
      </c>
      <c r="B13" s="108">
        <f>ABS(C7)</f>
        <v>8</v>
      </c>
      <c r="C13" s="108">
        <f>ABS(B7)+ABS(D7)</f>
        <v>2</v>
      </c>
      <c r="D13" s="109" t="str">
        <f>IF(B13&gt;=C13, "ok", "Fail")</f>
        <v>ok</v>
      </c>
      <c r="E13" s="102"/>
      <c r="F13" s="102"/>
      <c r="G13" s="102"/>
      <c r="H13" s="102"/>
      <c r="I13" s="102"/>
      <c r="J13" s="102"/>
    </row>
    <row r="14" spans="1:11" ht="15.6">
      <c r="A14" s="107" t="s">
        <v>14</v>
      </c>
      <c r="B14" s="108">
        <f>ABS(D8)</f>
        <v>5</v>
      </c>
      <c r="C14" s="108">
        <f>ABS(B8)+ABS(C8)</f>
        <v>3</v>
      </c>
      <c r="D14" s="109" t="str">
        <f>IF(B14&gt;=C14, "ok", "Fail")</f>
        <v>ok</v>
      </c>
      <c r="E14" s="102"/>
      <c r="F14" s="102"/>
      <c r="G14" s="102"/>
      <c r="H14" s="102"/>
      <c r="I14" s="102"/>
      <c r="J14" s="102"/>
    </row>
    <row r="15" spans="1:11" ht="15.6">
      <c r="F15" s="102"/>
      <c r="G15" s="110" t="s">
        <v>1</v>
      </c>
      <c r="H15" s="102"/>
      <c r="J15" s="110" t="s">
        <v>1</v>
      </c>
      <c r="K15" s="102"/>
    </row>
    <row r="16" spans="1:11" ht="15.6">
      <c r="A16" s="103" t="s">
        <v>2</v>
      </c>
      <c r="F16" s="102"/>
      <c r="G16" s="111" t="s">
        <v>3</v>
      </c>
      <c r="H16" s="111" t="s">
        <v>3</v>
      </c>
      <c r="I16" s="112"/>
      <c r="J16" s="111" t="s">
        <v>4</v>
      </c>
      <c r="K16" s="111" t="s">
        <v>4</v>
      </c>
    </row>
    <row r="17" spans="1:11" ht="15.6">
      <c r="A17" s="102"/>
      <c r="B17" s="102"/>
      <c r="C17" s="104" t="s">
        <v>5</v>
      </c>
      <c r="D17" s="104"/>
      <c r="E17" s="104" t="s">
        <v>6</v>
      </c>
      <c r="F17" s="102"/>
      <c r="G17" s="111" t="s">
        <v>7</v>
      </c>
      <c r="H17" s="111" t="s">
        <v>6</v>
      </c>
      <c r="J17" s="111" t="s">
        <v>7</v>
      </c>
      <c r="K17" s="111" t="s">
        <v>6</v>
      </c>
    </row>
    <row r="18" spans="1:11" ht="15">
      <c r="A18" s="102"/>
      <c r="B18" s="105">
        <v>7</v>
      </c>
      <c r="C18" s="105">
        <v>1</v>
      </c>
      <c r="D18" s="105">
        <v>-1</v>
      </c>
      <c r="E18" s="106">
        <v>13</v>
      </c>
      <c r="F18" s="102"/>
      <c r="G18" s="113">
        <f>B44</f>
        <v>1.9992489067055392</v>
      </c>
      <c r="H18" s="114">
        <f t="array" ref="H18:H20">MMULT(B18:D20,G18:G20)</f>
        <v>12.994729227405248</v>
      </c>
      <c r="J18" s="113">
        <f>B52</f>
        <v>1.9999825085901708</v>
      </c>
      <c r="K18" s="114">
        <f t="array" ref="K18:K20">MMULT(B18:D20,J18:J20)</f>
        <v>12.999817156230478</v>
      </c>
    </row>
    <row r="19" spans="1:11" ht="15.6">
      <c r="A19" s="104"/>
      <c r="B19" s="105">
        <v>1</v>
      </c>
      <c r="C19" s="105">
        <v>8</v>
      </c>
      <c r="D19" s="105">
        <v>1</v>
      </c>
      <c r="E19" s="106">
        <v>30</v>
      </c>
      <c r="F19" s="102"/>
      <c r="G19" s="113">
        <f>C44</f>
        <v>3.0006592565597665</v>
      </c>
      <c r="H19" s="114">
        <v>30.005195335276966</v>
      </c>
      <c r="J19" s="113">
        <f>C52</f>
        <v>2.9999332408290162</v>
      </c>
      <c r="K19" s="114">
        <v>29.999442079952036</v>
      </c>
    </row>
    <row r="20" spans="1:11" ht="15">
      <c r="A20" s="102"/>
      <c r="B20" s="105">
        <v>2</v>
      </c>
      <c r="C20" s="105">
        <v>-1</v>
      </c>
      <c r="D20" s="105">
        <v>5</v>
      </c>
      <c r="E20" s="106">
        <v>21</v>
      </c>
      <c r="F20" s="102"/>
      <c r="G20" s="113">
        <f>D44</f>
        <v>4.000672376093295</v>
      </c>
      <c r="H20" s="114">
        <v>21.001200437317788</v>
      </c>
      <c r="J20" s="113">
        <f>D52</f>
        <v>3.9999936447297353</v>
      </c>
      <c r="K20" s="114">
        <v>21</v>
      </c>
    </row>
    <row r="21" spans="1:11" ht="15.75" customHeight="1">
      <c r="A21" s="102"/>
      <c r="B21" s="102"/>
      <c r="C21" s="102"/>
      <c r="D21" s="102"/>
      <c r="E21" s="102"/>
      <c r="F21" s="102"/>
      <c r="G21" s="102"/>
      <c r="H21" s="102"/>
      <c r="I21" s="102"/>
      <c r="J21" s="102"/>
    </row>
    <row r="22" spans="1:11" ht="15.6">
      <c r="A22" s="103" t="s">
        <v>10</v>
      </c>
      <c r="B22" s="102"/>
      <c r="C22" s="102"/>
      <c r="D22" s="102"/>
      <c r="E22" s="102"/>
      <c r="F22" s="102"/>
      <c r="G22" s="102"/>
      <c r="H22" s="102"/>
      <c r="I22" s="102"/>
      <c r="J22" s="102"/>
    </row>
    <row r="23" spans="1:11" ht="15.6">
      <c r="A23" s="103"/>
      <c r="B23" s="102"/>
      <c r="C23" s="102" t="s">
        <v>11</v>
      </c>
      <c r="D23" s="102"/>
      <c r="E23" s="102"/>
      <c r="F23" s="102"/>
      <c r="G23" s="102"/>
      <c r="H23" s="102"/>
      <c r="I23" s="102"/>
      <c r="J23" s="102"/>
    </row>
    <row r="24" spans="1:11" ht="15.6">
      <c r="A24" s="107" t="s">
        <v>12</v>
      </c>
      <c r="B24" s="108">
        <f>ABS(B18)</f>
        <v>7</v>
      </c>
      <c r="C24" s="108">
        <f>ABS(C18)+ABS(D18)</f>
        <v>2</v>
      </c>
      <c r="D24" s="109" t="str">
        <f>IF(B24&gt;=C24, "ok", "Fail")</f>
        <v>ok</v>
      </c>
      <c r="E24" s="102"/>
      <c r="F24" s="102"/>
      <c r="G24" s="102"/>
      <c r="H24" s="102"/>
      <c r="I24" s="102"/>
      <c r="J24" s="102"/>
    </row>
    <row r="25" spans="1:11" ht="15.6">
      <c r="A25" s="107" t="s">
        <v>13</v>
      </c>
      <c r="B25" s="108">
        <f>ABS(C19)</f>
        <v>8</v>
      </c>
      <c r="C25" s="108">
        <f>ABS(B19)+ABS(D19)</f>
        <v>2</v>
      </c>
      <c r="D25" s="109" t="str">
        <f>IF(B25&gt;=C25, "ok", "Fail")</f>
        <v>ok</v>
      </c>
      <c r="E25" s="102"/>
      <c r="F25" s="102"/>
      <c r="G25" s="102"/>
      <c r="H25" s="102"/>
      <c r="I25" s="102"/>
      <c r="J25" s="102"/>
    </row>
    <row r="26" spans="1:11" ht="15.6">
      <c r="A26" s="107" t="s">
        <v>14</v>
      </c>
      <c r="B26" s="108">
        <f>ABS(D20)</f>
        <v>5</v>
      </c>
      <c r="C26" s="108">
        <f>ABS(B20)+ABS(C20)</f>
        <v>3</v>
      </c>
      <c r="D26" s="109" t="str">
        <f>IF(B26&gt;=C26, "ok", "Fail")</f>
        <v>ok</v>
      </c>
      <c r="E26" s="102"/>
      <c r="F26" s="102"/>
      <c r="G26" s="102"/>
      <c r="H26" s="102"/>
      <c r="I26" s="102"/>
      <c r="J26" s="102"/>
    </row>
    <row r="27" spans="1:11" ht="15">
      <c r="A27" s="102"/>
      <c r="B27" s="102"/>
      <c r="C27" s="102"/>
      <c r="D27" s="102"/>
      <c r="E27" s="102"/>
      <c r="F27" s="102"/>
      <c r="G27" s="102"/>
      <c r="H27" s="102"/>
      <c r="I27" s="102"/>
      <c r="J27" s="102"/>
    </row>
    <row r="28" spans="1:11" ht="15.6">
      <c r="A28" s="104" t="s">
        <v>15</v>
      </c>
      <c r="B28" s="102"/>
      <c r="C28" s="102"/>
      <c r="D28" s="102"/>
      <c r="E28" s="102"/>
      <c r="F28" s="102"/>
      <c r="G28" s="102"/>
      <c r="H28" s="102"/>
      <c r="I28" s="102"/>
      <c r="J28" s="102"/>
    </row>
    <row r="29" spans="1:11" ht="15">
      <c r="A29" s="102"/>
      <c r="B29" s="102"/>
      <c r="C29" s="102"/>
      <c r="D29" s="102"/>
      <c r="E29" s="102"/>
      <c r="F29" s="102"/>
      <c r="G29" s="102"/>
      <c r="H29" s="102"/>
      <c r="I29" s="102"/>
      <c r="J29" s="102"/>
    </row>
    <row r="30" spans="1:11">
      <c r="A30" s="115" t="s">
        <v>22</v>
      </c>
    </row>
    <row r="31" spans="1:11" ht="15">
      <c r="A31" s="102"/>
      <c r="B31" s="116" t="s">
        <v>23</v>
      </c>
      <c r="C31" s="116" t="s">
        <v>24</v>
      </c>
      <c r="D31" s="116" t="s">
        <v>25</v>
      </c>
    </row>
    <row r="32" spans="1:11" ht="15">
      <c r="A32" s="102"/>
      <c r="B32" s="117">
        <v>0</v>
      </c>
      <c r="C32" s="117">
        <v>0</v>
      </c>
      <c r="D32" s="117">
        <v>0</v>
      </c>
    </row>
    <row r="33" spans="1:8" ht="15">
      <c r="A33" s="102"/>
    </row>
    <row r="34" spans="1:8">
      <c r="A34" s="115" t="s">
        <v>26</v>
      </c>
      <c r="D34" s="118" t="s">
        <v>27</v>
      </c>
      <c r="E34" s="118">
        <v>0.01</v>
      </c>
    </row>
    <row r="35" spans="1:8">
      <c r="A35" s="115"/>
    </row>
    <row r="36" spans="1:8" ht="15.6">
      <c r="A36" s="119" t="s">
        <v>34</v>
      </c>
    </row>
    <row r="37" spans="1:8">
      <c r="A37" s="117" t="s">
        <v>28</v>
      </c>
      <c r="B37" s="116" t="s">
        <v>23</v>
      </c>
      <c r="C37" s="116" t="s">
        <v>24</v>
      </c>
      <c r="D37" s="116" t="s">
        <v>25</v>
      </c>
      <c r="E37" s="120" t="s">
        <v>29</v>
      </c>
      <c r="F37" s="120" t="s">
        <v>30</v>
      </c>
      <c r="G37" s="120" t="s">
        <v>31</v>
      </c>
      <c r="H37" s="117"/>
    </row>
    <row r="38" spans="1:8">
      <c r="A38" s="117">
        <v>0</v>
      </c>
      <c r="B38" s="121">
        <f>B32</f>
        <v>0</v>
      </c>
      <c r="C38" s="121">
        <f>C32</f>
        <v>0</v>
      </c>
      <c r="D38" s="121">
        <f>D32</f>
        <v>0</v>
      </c>
      <c r="E38" s="121"/>
      <c r="F38" s="121"/>
      <c r="G38" s="121"/>
      <c r="H38" s="117"/>
    </row>
    <row r="39" spans="1:8">
      <c r="A39" s="117">
        <v>1</v>
      </c>
      <c r="B39" s="121">
        <f t="shared" ref="B39:B44" si="0">(1/$B$18)*($E$18-$C$18*C38-$D$18*D38)</f>
        <v>1.857142857142857</v>
      </c>
      <c r="C39" s="121">
        <f t="shared" ref="C39:C44" si="1">(1/$C$19)*($E$19-$B$19*B38-$D$19*D38)</f>
        <v>3.75</v>
      </c>
      <c r="D39" s="121">
        <f t="shared" ref="D39:D44" si="2">(1/$D$20)*($E$20-$B$20*B38-$C$20*C38)</f>
        <v>4.2</v>
      </c>
      <c r="E39" s="121">
        <f t="shared" ref="E39:G44" si="3">ABS(B39-B38)</f>
        <v>1.857142857142857</v>
      </c>
      <c r="F39" s="121">
        <f t="shared" si="3"/>
        <v>3.75</v>
      </c>
      <c r="G39" s="121">
        <f t="shared" si="3"/>
        <v>4.2</v>
      </c>
      <c r="H39" s="117" t="str">
        <f t="shared" ref="H39:H44" si="4">IF(AND(E39&lt;$E$34,F39&lt;$E$34,G39&lt;$E$34),"Fim!!","")</f>
        <v/>
      </c>
    </row>
    <row r="40" spans="1:8">
      <c r="A40" s="117">
        <v>2</v>
      </c>
      <c r="B40" s="121">
        <f t="shared" si="0"/>
        <v>1.9214285714285713</v>
      </c>
      <c r="C40" s="121">
        <f t="shared" si="1"/>
        <v>2.9928571428571429</v>
      </c>
      <c r="D40" s="121">
        <f t="shared" si="2"/>
        <v>4.2071428571428573</v>
      </c>
      <c r="E40" s="121">
        <f t="shared" si="3"/>
        <v>6.4285714285714279E-2</v>
      </c>
      <c r="F40" s="121">
        <f t="shared" si="3"/>
        <v>0.75714285714285712</v>
      </c>
      <c r="G40" s="121">
        <f t="shared" si="3"/>
        <v>7.1428571428571175E-3</v>
      </c>
      <c r="H40" s="117" t="str">
        <f t="shared" si="4"/>
        <v/>
      </c>
    </row>
    <row r="41" spans="1:8">
      <c r="A41" s="117">
        <v>3</v>
      </c>
      <c r="B41" s="121">
        <f t="shared" si="0"/>
        <v>2.0306122448979589</v>
      </c>
      <c r="C41" s="121">
        <f t="shared" si="1"/>
        <v>2.9839285714285717</v>
      </c>
      <c r="D41" s="121">
        <f t="shared" si="2"/>
        <v>4.03</v>
      </c>
      <c r="E41" s="121">
        <f t="shared" si="3"/>
        <v>0.10918367346938762</v>
      </c>
      <c r="F41" s="121">
        <f t="shared" si="3"/>
        <v>8.9285714285711748E-3</v>
      </c>
      <c r="G41" s="121">
        <f t="shared" si="3"/>
        <v>0.17714285714285705</v>
      </c>
      <c r="H41" s="117" t="str">
        <f t="shared" si="4"/>
        <v/>
      </c>
    </row>
    <row r="42" spans="1:8">
      <c r="A42" s="117">
        <v>4</v>
      </c>
      <c r="B42" s="121">
        <f t="shared" si="0"/>
        <v>2.0065816326530612</v>
      </c>
      <c r="C42" s="121">
        <f t="shared" si="1"/>
        <v>2.9924234693877549</v>
      </c>
      <c r="D42" s="121">
        <f t="shared" si="2"/>
        <v>3.9845408163265308</v>
      </c>
      <c r="E42" s="121">
        <f t="shared" si="3"/>
        <v>2.4030612244897664E-2</v>
      </c>
      <c r="F42" s="121">
        <f t="shared" si="3"/>
        <v>8.4948979591832341E-3</v>
      </c>
      <c r="G42" s="121">
        <f t="shared" si="3"/>
        <v>4.5459183673469461E-2</v>
      </c>
      <c r="H42" s="117" t="str">
        <f t="shared" si="4"/>
        <v/>
      </c>
    </row>
    <row r="43" spans="1:8">
      <c r="A43" s="117">
        <v>5</v>
      </c>
      <c r="B43" s="121">
        <f t="shared" si="0"/>
        <v>1.9988739067055392</v>
      </c>
      <c r="C43" s="121">
        <f t="shared" si="1"/>
        <v>3.0011096938775514</v>
      </c>
      <c r="D43" s="121">
        <f t="shared" si="2"/>
        <v>3.9958520408163269</v>
      </c>
      <c r="E43" s="121">
        <f t="shared" si="3"/>
        <v>7.7077259475220039E-3</v>
      </c>
      <c r="F43" s="121">
        <f t="shared" si="3"/>
        <v>8.6862244897965013E-3</v>
      </c>
      <c r="G43" s="121">
        <f t="shared" si="3"/>
        <v>1.1311224489796157E-2</v>
      </c>
      <c r="H43" s="117" t="str">
        <f t="shared" si="4"/>
        <v/>
      </c>
    </row>
    <row r="44" spans="1:8">
      <c r="A44" s="117">
        <v>6</v>
      </c>
      <c r="B44" s="121">
        <f t="shared" si="0"/>
        <v>1.9992489067055392</v>
      </c>
      <c r="C44" s="121">
        <f t="shared" si="1"/>
        <v>3.0006592565597665</v>
      </c>
      <c r="D44" s="121">
        <f t="shared" si="2"/>
        <v>4.000672376093295</v>
      </c>
      <c r="E44" s="121">
        <f t="shared" si="3"/>
        <v>3.7500000000001421E-4</v>
      </c>
      <c r="F44" s="121">
        <f t="shared" si="3"/>
        <v>4.5043731778493523E-4</v>
      </c>
      <c r="G44" s="121">
        <f t="shared" si="3"/>
        <v>4.820335276968013E-3</v>
      </c>
      <c r="H44" s="117" t="str">
        <f t="shared" si="4"/>
        <v>Fim!!</v>
      </c>
    </row>
    <row r="46" spans="1:8" ht="15.6">
      <c r="A46" s="103" t="s">
        <v>35</v>
      </c>
    </row>
    <row r="47" spans="1:8">
      <c r="A47" s="117" t="s">
        <v>28</v>
      </c>
      <c r="B47" s="116" t="s">
        <v>23</v>
      </c>
      <c r="C47" s="116" t="s">
        <v>24</v>
      </c>
      <c r="D47" s="116" t="s">
        <v>25</v>
      </c>
      <c r="E47" s="120" t="s">
        <v>29</v>
      </c>
      <c r="F47" s="120" t="s">
        <v>30</v>
      </c>
      <c r="G47" s="120" t="s">
        <v>31</v>
      </c>
      <c r="H47" s="117"/>
    </row>
    <row r="48" spans="1:8">
      <c r="A48" s="117">
        <v>0</v>
      </c>
      <c r="B48" s="121">
        <f>B32</f>
        <v>0</v>
      </c>
      <c r="C48" s="121">
        <f>(1/$C$19)*($E$19-$B$19*B48-$D$20*D32)</f>
        <v>3.75</v>
      </c>
      <c r="D48" s="121">
        <f>1/$D$20*($E$20-$B$20*B48-$C$20*C48)</f>
        <v>4.95</v>
      </c>
      <c r="E48" s="121"/>
      <c r="F48" s="121"/>
      <c r="G48" s="121"/>
      <c r="H48" s="117"/>
    </row>
    <row r="49" spans="1:8">
      <c r="A49" s="117">
        <v>1</v>
      </c>
      <c r="B49" s="121">
        <f>(1/$B$18)*($E$18-$C$18*C48-$D$18*D48)</f>
        <v>2.0285714285714285</v>
      </c>
      <c r="C49" s="121">
        <f>(1/$C$19)*($E$19-$B$19*B49-$D$19*D48)</f>
        <v>2.8776785714285715</v>
      </c>
      <c r="D49" s="121">
        <f>(1/$D$20)*($E$20-$B$20*B49-$C$20*C49)</f>
        <v>3.9641071428571433</v>
      </c>
      <c r="E49" s="121">
        <f t="shared" ref="E49:G52" si="5">ABS(B49-B48)</f>
        <v>2.0285714285714285</v>
      </c>
      <c r="F49" s="121">
        <f t="shared" si="5"/>
        <v>0.87232142857142847</v>
      </c>
      <c r="G49" s="121">
        <f t="shared" si="5"/>
        <v>0.9858928571428569</v>
      </c>
      <c r="H49" s="117" t="str">
        <f>IF(AND(E49&lt;$E$34,F49&lt;$E$34,G49&lt;$E$34),"Fim!!","")</f>
        <v/>
      </c>
    </row>
    <row r="50" spans="1:8">
      <c r="A50" s="117">
        <v>2</v>
      </c>
      <c r="B50" s="121">
        <f>(1/$B$18)*($E$18-$C$18*C49-$D$18*D49)</f>
        <v>2.0123469387755102</v>
      </c>
      <c r="C50" s="121">
        <f>(1/$C$19)*($E$19-$B$19*B50-$D$19*D49)</f>
        <v>3.0029432397959184</v>
      </c>
      <c r="D50" s="121">
        <f>(1/$D$20)*($E$20-$B$20*B50-$C$20*C50)</f>
        <v>3.99564987244898</v>
      </c>
      <c r="E50" s="121">
        <f t="shared" si="5"/>
        <v>1.6224489795918284E-2</v>
      </c>
      <c r="F50" s="121">
        <f t="shared" si="5"/>
        <v>0.12526466836734684</v>
      </c>
      <c r="G50" s="121">
        <f t="shared" si="5"/>
        <v>3.1542729591836682E-2</v>
      </c>
      <c r="H50" s="117" t="str">
        <f>IF(AND(E50&lt;$E$34,F50&lt;$E$34,G50&lt;$E$34),"Fim!!","")</f>
        <v/>
      </c>
    </row>
    <row r="51" spans="1:8">
      <c r="A51" s="117">
        <v>3</v>
      </c>
      <c r="B51" s="121">
        <f>(1/$B$18)*($E$18-$C$18*C50-$D$18*D50)</f>
        <v>1.9989580903790085</v>
      </c>
      <c r="C51" s="121">
        <f>(1/$C$19)*($E$19-$B$19*B51-$D$19*D50)</f>
        <v>3.0006740046465015</v>
      </c>
      <c r="D51" s="121">
        <f>(1/$D$20)*($E$20-$B$20*B51-$C$20*C51)</f>
        <v>4.0005515647776972</v>
      </c>
      <c r="E51" s="121">
        <f t="shared" si="5"/>
        <v>1.3388848396501674E-2</v>
      </c>
      <c r="F51" s="121">
        <f t="shared" si="5"/>
        <v>2.2692351494169039E-3</v>
      </c>
      <c r="G51" s="121">
        <f t="shared" si="5"/>
        <v>4.9016923287172887E-3</v>
      </c>
      <c r="H51" s="117" t="str">
        <f>IF(AND(E51&lt;$E$34,F51&lt;$E$34,G51&lt;$E$34),"Fim!!","")</f>
        <v/>
      </c>
    </row>
    <row r="52" spans="1:8">
      <c r="A52" s="117">
        <v>4</v>
      </c>
      <c r="B52" s="121">
        <f>(1/$B$18)*($E$18-$C$18*C51-$D$18*D51)</f>
        <v>1.9999825085901708</v>
      </c>
      <c r="C52" s="121">
        <f>(1/$C$19)*($E$19-$B$19*B52-$D$19*D51)</f>
        <v>2.9999332408290162</v>
      </c>
      <c r="D52" s="121">
        <f>(1/$D$20)*($E$20-$B$20*B52-$C$20*C52)</f>
        <v>3.9999936447297353</v>
      </c>
      <c r="E52" s="121">
        <f t="shared" si="5"/>
        <v>1.0244182111622813E-3</v>
      </c>
      <c r="F52" s="121">
        <f t="shared" si="5"/>
        <v>7.407638174852238E-4</v>
      </c>
      <c r="G52" s="121">
        <f t="shared" si="5"/>
        <v>5.5792004796195727E-4</v>
      </c>
      <c r="H52" s="117" t="str">
        <f>IF(AND(E52&lt;$E$34,F52&lt;$E$34,G52&lt;$E$34),"Fim!!","")</f>
        <v>Fim!!</v>
      </c>
    </row>
  </sheetData>
  <mergeCells count="2">
    <mergeCell ref="A1:K1"/>
    <mergeCell ref="A2:C2"/>
  </mergeCells>
  <pageMargins left="0" right="0" top="0.39370078740157477" bottom="0.39370078740157477" header="0" footer="0"/>
  <headerFoot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Exemplo 2</vt:lpstr>
      <vt:lpstr>Exercício 1</vt:lpstr>
      <vt:lpstr>Exercício 2</vt:lpstr>
      <vt:lpstr>Exercício 3</vt:lpstr>
      <vt:lpstr>Exercício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Bertinetti</dc:creator>
  <cp:lastModifiedBy>Lucas Bertinetti</cp:lastModifiedBy>
  <dcterms:created xsi:type="dcterms:W3CDTF">2015-06-05T18:19:34Z</dcterms:created>
  <dcterms:modified xsi:type="dcterms:W3CDTF">2024-10-30T17:10:42Z</dcterms:modified>
</cp:coreProperties>
</file>