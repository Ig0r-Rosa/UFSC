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083b9f244c77dc93/Biblioteca/Prof. Substituto - DEC/Disciplinas/DEC7142 Cálculo Numérico em Computadores/Material/Unidade 2/"/>
    </mc:Choice>
  </mc:AlternateContent>
  <xr:revisionPtr revIDLastSave="34" documentId="11_AD4D361C20488DEA4E38A01C04DA552A5ADEDD85" xr6:coauthVersionLast="47" xr6:coauthVersionMax="47" xr10:uidLastSave="{ADCDF989-CBBD-4062-AB07-C12F1958A8E2}"/>
  <bookViews>
    <workbookView xWindow="-120" yWindow="-120" windowWidth="29040" windowHeight="15840" activeTab="5" xr2:uid="{00000000-000D-0000-FFFF-FFFF00000000}"/>
  </bookViews>
  <sheets>
    <sheet name="Ex_1" sheetId="1" r:id="rId1"/>
    <sheet name="Ex_2" sheetId="2" r:id="rId2"/>
    <sheet name="Ex_3" sheetId="3" r:id="rId3"/>
    <sheet name="Ex_4" sheetId="4" r:id="rId4"/>
    <sheet name="Ex_5" sheetId="5" r:id="rId5"/>
    <sheet name="Ex_5_bissecao" sheetId="6" r:id="rId6"/>
  </sheets>
  <externalReferences>
    <externalReference r:id="rId7"/>
    <externalReference r:id="rId8"/>
    <externalReference r:id="rId9"/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6" l="1"/>
  <c r="L36" i="6" s="1"/>
  <c r="J36" i="6"/>
  <c r="G36" i="6"/>
  <c r="F36" i="6"/>
  <c r="D36" i="6"/>
  <c r="C39" i="6" s="1"/>
  <c r="K35" i="6"/>
  <c r="L35" i="6" s="1"/>
  <c r="J35" i="6"/>
  <c r="G35" i="6"/>
  <c r="F35" i="6"/>
  <c r="D35" i="6"/>
  <c r="E35" i="6" s="1"/>
  <c r="H35" i="6" s="1"/>
  <c r="K34" i="6"/>
  <c r="L34" i="6" s="1"/>
  <c r="J34" i="6"/>
  <c r="G34" i="6"/>
  <c r="F34" i="6"/>
  <c r="D34" i="6"/>
  <c r="E34" i="6" s="1"/>
  <c r="K33" i="6"/>
  <c r="L33" i="6" s="1"/>
  <c r="J33" i="6"/>
  <c r="G33" i="6"/>
  <c r="I33" i="6" s="1"/>
  <c r="F33" i="6"/>
  <c r="H33" i="6" s="1"/>
  <c r="E33" i="6"/>
  <c r="D33" i="6"/>
  <c r="K32" i="6"/>
  <c r="L32" i="6" s="1"/>
  <c r="J32" i="6"/>
  <c r="G32" i="6"/>
  <c r="I32" i="6" s="1"/>
  <c r="F32" i="6"/>
  <c r="H32" i="6" s="1"/>
  <c r="D32" i="6"/>
  <c r="E32" i="6" s="1"/>
  <c r="K31" i="6"/>
  <c r="L31" i="6" s="1"/>
  <c r="J31" i="6"/>
  <c r="G31" i="6"/>
  <c r="F31" i="6"/>
  <c r="D31" i="6"/>
  <c r="E31" i="6" s="1"/>
  <c r="H31" i="6" s="1"/>
  <c r="K30" i="6"/>
  <c r="J30" i="6"/>
  <c r="L30" i="6" s="1"/>
  <c r="G30" i="6"/>
  <c r="F30" i="6"/>
  <c r="D30" i="6"/>
  <c r="E30" i="6" s="1"/>
  <c r="K29" i="6"/>
  <c r="L29" i="6" s="1"/>
  <c r="J29" i="6"/>
  <c r="G29" i="6"/>
  <c r="I29" i="6" s="1"/>
  <c r="F29" i="6"/>
  <c r="H29" i="6" s="1"/>
  <c r="E29" i="6"/>
  <c r="D29" i="6"/>
  <c r="K28" i="6"/>
  <c r="L28" i="6" s="1"/>
  <c r="J28" i="6"/>
  <c r="G28" i="6"/>
  <c r="F28" i="6"/>
  <c r="D28" i="6"/>
  <c r="E28" i="6" s="1"/>
  <c r="K27" i="6"/>
  <c r="L27" i="6" s="1"/>
  <c r="J27" i="6"/>
  <c r="G27" i="6"/>
  <c r="F27" i="6"/>
  <c r="D27" i="6"/>
  <c r="E27" i="6" s="1"/>
  <c r="H27" i="6" s="1"/>
  <c r="C23" i="6"/>
  <c r="B14" i="6"/>
  <c r="B13" i="6"/>
  <c r="B12" i="6"/>
  <c r="B11" i="6"/>
  <c r="B10" i="6"/>
  <c r="B9" i="6"/>
  <c r="B8" i="6"/>
  <c r="B7" i="6"/>
  <c r="F35" i="5"/>
  <c r="L34" i="5"/>
  <c r="F34" i="5"/>
  <c r="L33" i="5"/>
  <c r="F33" i="5"/>
  <c r="D33" i="5"/>
  <c r="E33" i="5" s="1"/>
  <c r="C33" i="5"/>
  <c r="L32" i="5"/>
  <c r="L31" i="5"/>
  <c r="L30" i="5"/>
  <c r="L29" i="5"/>
  <c r="L28" i="5"/>
  <c r="C28" i="5"/>
  <c r="B28" i="5"/>
  <c r="D28" i="5" s="1"/>
  <c r="E28" i="5" s="1"/>
  <c r="C27" i="5"/>
  <c r="B27" i="5"/>
  <c r="D27" i="5" s="1"/>
  <c r="E27" i="5" s="1"/>
  <c r="B14" i="5"/>
  <c r="B13" i="5"/>
  <c r="B12" i="5"/>
  <c r="B11" i="5"/>
  <c r="B10" i="5"/>
  <c r="B9" i="5"/>
  <c r="B8" i="5"/>
  <c r="B7" i="5"/>
  <c r="F58" i="4"/>
  <c r="F57" i="4"/>
  <c r="F56" i="4"/>
  <c r="B56" i="4"/>
  <c r="G55" i="4"/>
  <c r="H55" i="4" s="1"/>
  <c r="F55" i="4"/>
  <c r="E55" i="4"/>
  <c r="D55" i="4"/>
  <c r="C55" i="4"/>
  <c r="F48" i="4"/>
  <c r="D48" i="4"/>
  <c r="C48" i="4"/>
  <c r="E48" i="4" s="1"/>
  <c r="B43" i="4"/>
  <c r="D43" i="4" s="1"/>
  <c r="E43" i="4" s="1"/>
  <c r="D42" i="4"/>
  <c r="E42" i="4" s="1"/>
  <c r="C42" i="4"/>
  <c r="B42" i="4"/>
  <c r="F35" i="4"/>
  <c r="L34" i="4"/>
  <c r="F34" i="4"/>
  <c r="L33" i="4"/>
  <c r="F33" i="4"/>
  <c r="D33" i="4"/>
  <c r="E33" i="4" s="1"/>
  <c r="C33" i="4"/>
  <c r="L32" i="4"/>
  <c r="L31" i="4"/>
  <c r="L30" i="4"/>
  <c r="L29" i="4"/>
  <c r="L28" i="4"/>
  <c r="D28" i="4"/>
  <c r="E28" i="4" s="1"/>
  <c r="B28" i="4"/>
  <c r="C27" i="4"/>
  <c r="D27" i="4" s="1"/>
  <c r="E27" i="4" s="1"/>
  <c r="B27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F36" i="3"/>
  <c r="F35" i="3"/>
  <c r="L34" i="3"/>
  <c r="F34" i="3"/>
  <c r="L33" i="3"/>
  <c r="F33" i="3"/>
  <c r="E33" i="3"/>
  <c r="G33" i="3" s="1"/>
  <c r="H33" i="3" s="1"/>
  <c r="D33" i="3"/>
  <c r="C33" i="3"/>
  <c r="L32" i="3"/>
  <c r="L31" i="3"/>
  <c r="L30" i="3"/>
  <c r="L29" i="3"/>
  <c r="L28" i="3"/>
  <c r="C28" i="3"/>
  <c r="B28" i="3"/>
  <c r="D28" i="3" s="1"/>
  <c r="E28" i="3" s="1"/>
  <c r="C27" i="3"/>
  <c r="B27" i="3"/>
  <c r="D27" i="3" s="1"/>
  <c r="E27" i="3" s="1"/>
  <c r="B17" i="3"/>
  <c r="B16" i="3"/>
  <c r="B15" i="3"/>
  <c r="B14" i="3"/>
  <c r="B13" i="3"/>
  <c r="B12" i="3"/>
  <c r="B11" i="3"/>
  <c r="B10" i="3"/>
  <c r="B9" i="3"/>
  <c r="B8" i="3"/>
  <c r="B7" i="3"/>
  <c r="F35" i="2"/>
  <c r="F34" i="2"/>
  <c r="F33" i="2"/>
  <c r="D33" i="2"/>
  <c r="C33" i="2"/>
  <c r="E33" i="2" s="1"/>
  <c r="C28" i="2"/>
  <c r="D28" i="2" s="1"/>
  <c r="E28" i="2" s="1"/>
  <c r="B28" i="2"/>
  <c r="C27" i="2"/>
  <c r="D27" i="2" s="1"/>
  <c r="E27" i="2" s="1"/>
  <c r="B27" i="2"/>
  <c r="B17" i="2"/>
  <c r="B16" i="2"/>
  <c r="B15" i="2"/>
  <c r="B14" i="2"/>
  <c r="B13" i="2"/>
  <c r="B12" i="2"/>
  <c r="B11" i="2"/>
  <c r="B10" i="2"/>
  <c r="B9" i="2"/>
  <c r="B8" i="2"/>
  <c r="B7" i="2"/>
  <c r="D33" i="1"/>
  <c r="F35" i="1"/>
  <c r="F34" i="1"/>
  <c r="F33" i="1"/>
  <c r="C33" i="1"/>
  <c r="C28" i="1"/>
  <c r="B28" i="1"/>
  <c r="D28" i="1" s="1"/>
  <c r="E28" i="1" s="1"/>
  <c r="C27" i="1"/>
  <c r="B27" i="1"/>
  <c r="D27" i="1" s="1"/>
  <c r="E27" i="1" s="1"/>
  <c r="B17" i="1"/>
  <c r="B16" i="1"/>
  <c r="B15" i="1"/>
  <c r="B14" i="1"/>
  <c r="B13" i="1"/>
  <c r="B12" i="1"/>
  <c r="B11" i="1"/>
  <c r="B10" i="1"/>
  <c r="B9" i="1"/>
  <c r="B8" i="1"/>
  <c r="B7" i="1"/>
  <c r="I28" i="6" l="1"/>
  <c r="H30" i="6"/>
  <c r="I30" i="6"/>
  <c r="I35" i="6"/>
  <c r="I31" i="6"/>
  <c r="H34" i="6"/>
  <c r="I34" i="6"/>
  <c r="H28" i="6"/>
  <c r="I27" i="6"/>
  <c r="E36" i="6"/>
  <c r="H36" i="6" s="1"/>
  <c r="B34" i="5"/>
  <c r="G33" i="5"/>
  <c r="H33" i="5" s="1"/>
  <c r="C50" i="4"/>
  <c r="G48" i="4"/>
  <c r="H48" i="4" s="1"/>
  <c r="G33" i="4"/>
  <c r="H33" i="4" s="1"/>
  <c r="B34" i="4"/>
  <c r="C56" i="4"/>
  <c r="E56" i="4" s="1"/>
  <c r="D56" i="4"/>
  <c r="B34" i="3"/>
  <c r="B34" i="2"/>
  <c r="G33" i="2"/>
  <c r="H33" i="2" s="1"/>
  <c r="E33" i="1"/>
  <c r="B34" i="1" s="1"/>
  <c r="I36" i="6" l="1"/>
  <c r="D34" i="5"/>
  <c r="C34" i="5"/>
  <c r="E34" i="5" s="1"/>
  <c r="B57" i="4"/>
  <c r="G56" i="4"/>
  <c r="H56" i="4" s="1"/>
  <c r="D34" i="4"/>
  <c r="C34" i="4"/>
  <c r="E34" i="4" s="1"/>
  <c r="C34" i="3"/>
  <c r="E34" i="3" s="1"/>
  <c r="D34" i="3"/>
  <c r="D34" i="2"/>
  <c r="C34" i="2"/>
  <c r="E34" i="2"/>
  <c r="G33" i="1"/>
  <c r="H33" i="1" s="1"/>
  <c r="C34" i="1"/>
  <c r="D34" i="1"/>
  <c r="E34" i="1"/>
  <c r="B35" i="5" l="1"/>
  <c r="G34" i="5"/>
  <c r="H34" i="5" s="1"/>
  <c r="B35" i="4"/>
  <c r="G34" i="4"/>
  <c r="H34" i="4" s="1"/>
  <c r="D57" i="4"/>
  <c r="C57" i="4"/>
  <c r="E57" i="4" s="1"/>
  <c r="B35" i="3"/>
  <c r="G34" i="3"/>
  <c r="H34" i="3" s="1"/>
  <c r="B35" i="2"/>
  <c r="G34" i="2"/>
  <c r="H34" i="2" s="1"/>
  <c r="G34" i="1"/>
  <c r="H34" i="1" s="1"/>
  <c r="B35" i="1"/>
  <c r="D35" i="5" l="1"/>
  <c r="C35" i="5"/>
  <c r="E35" i="5" s="1"/>
  <c r="G57" i="4"/>
  <c r="H57" i="4" s="1"/>
  <c r="B58" i="4"/>
  <c r="C35" i="4"/>
  <c r="E35" i="4" s="1"/>
  <c r="D35" i="4"/>
  <c r="D35" i="3"/>
  <c r="C35" i="3"/>
  <c r="E35" i="3" s="1"/>
  <c r="D35" i="2"/>
  <c r="C35" i="2"/>
  <c r="E35" i="2" s="1"/>
  <c r="D35" i="1"/>
  <c r="C35" i="1"/>
  <c r="E35" i="1" s="1"/>
  <c r="G35" i="1" s="1"/>
  <c r="H35" i="1" s="1"/>
  <c r="C37" i="5" l="1"/>
  <c r="G35" i="5"/>
  <c r="H35" i="5" s="1"/>
  <c r="C37" i="4"/>
  <c r="G35" i="4"/>
  <c r="H35" i="4" s="1"/>
  <c r="C60" i="4"/>
  <c r="D58" i="4"/>
  <c r="C58" i="4"/>
  <c r="E58" i="4" s="1"/>
  <c r="G58" i="4" s="1"/>
  <c r="H58" i="4" s="1"/>
  <c r="G35" i="3"/>
  <c r="H35" i="3" s="1"/>
  <c r="B36" i="3"/>
  <c r="C37" i="2"/>
  <c r="G35" i="2"/>
  <c r="H35" i="2" s="1"/>
  <c r="D36" i="3" l="1"/>
  <c r="C36" i="3"/>
  <c r="E36" i="3" s="1"/>
  <c r="C38" i="3" l="1"/>
  <c r="G36" i="3"/>
  <c r="H36" i="3" s="1"/>
</calcChain>
</file>

<file path=xl/sharedStrings.xml><?xml version="1.0" encoding="utf-8"?>
<sst xmlns="http://schemas.openxmlformats.org/spreadsheetml/2006/main" count="161" uniqueCount="48">
  <si>
    <t>Exercício 1 – Newton-Raphson</t>
  </si>
  <si>
    <t>a) Escolha do intervalo</t>
  </si>
  <si>
    <t>f(x)</t>
  </si>
  <si>
    <t>2*x – sen(x) – 4</t>
  </si>
  <si>
    <t>x</t>
  </si>
  <si>
    <t>e</t>
  </si>
  <si>
    <t>f'(x) =</t>
  </si>
  <si>
    <t>2 − cos(x)</t>
  </si>
  <si>
    <t>f''(x) =</t>
  </si>
  <si>
    <t>sen(x)</t>
  </si>
  <si>
    <t>b) Melhor extremo (valor inicial), onde f(x)*f''(x) &gt; 0</t>
  </si>
  <si>
    <t>f''(x)</t>
  </si>
  <si>
    <t>f(x)*f''(x)</t>
  </si>
  <si>
    <t>| x_(i+1) – x_i) |</t>
  </si>
  <si>
    <t>N</t>
  </si>
  <si>
    <t>x_(i)</t>
  </si>
  <si>
    <t>f'(x)</t>
  </si>
  <si>
    <t>x_(i+1)</t>
  </si>
  <si>
    <t>E_ideal</t>
  </si>
  <si>
    <t>E</t>
  </si>
  <si>
    <t>Solução:</t>
  </si>
  <si>
    <t>Exemplo 2 – Newton-Raphson</t>
  </si>
  <si>
    <r>
      <rPr>
        <b/>
        <sz val="12"/>
        <color theme="1"/>
        <rFont val="Liberation Sans"/>
      </rPr>
      <t>x</t>
    </r>
    <r>
      <rPr>
        <b/>
        <vertAlign val="superscript"/>
        <sz val="12"/>
        <color theme="1"/>
        <rFont val="Liberation Sans"/>
      </rPr>
      <t>3</t>
    </r>
    <r>
      <rPr>
        <b/>
        <sz val="12"/>
        <color theme="1"/>
        <rFont val="Liberation Sans"/>
      </rPr>
      <t xml:space="preserve"> − 5</t>
    </r>
  </si>
  <si>
    <t>f' (x) =</t>
  </si>
  <si>
    <r>
      <t>3x</t>
    </r>
    <r>
      <rPr>
        <vertAlign val="superscript"/>
        <sz val="11"/>
        <color theme="1"/>
        <rFont val="Liberation Sans"/>
      </rPr>
      <t>2</t>
    </r>
  </si>
  <si>
    <t>6x</t>
  </si>
  <si>
    <t>Exemplo 3 – Newton-Raphson</t>
  </si>
  <si>
    <r>
      <t>x</t>
    </r>
    <r>
      <rPr>
        <vertAlign val="superscript"/>
        <sz val="11"/>
        <color theme="1"/>
        <rFont val="Liberation Sans"/>
      </rPr>
      <t>3</t>
    </r>
    <r>
      <rPr>
        <b/>
        <sz val="12"/>
        <color theme="1"/>
        <rFont val="Liberation Sans"/>
      </rPr>
      <t xml:space="preserve"> –5x</t>
    </r>
    <r>
      <rPr>
        <vertAlign val="superscript"/>
        <sz val="11"/>
        <color theme="1"/>
        <rFont val="Liberation Sans"/>
      </rPr>
      <t>2</t>
    </r>
    <r>
      <rPr>
        <b/>
        <sz val="12"/>
        <color theme="1"/>
        <rFont val="Liberation Sans"/>
      </rPr>
      <t>+x+3</t>
    </r>
  </si>
  <si>
    <r>
      <rPr>
        <b/>
        <sz val="12"/>
        <color theme="1"/>
        <rFont val="Liberation Sans"/>
      </rPr>
      <t>3x</t>
    </r>
    <r>
      <rPr>
        <b/>
        <vertAlign val="superscript"/>
        <sz val="12"/>
        <color theme="1"/>
        <rFont val="Liberation Sans"/>
      </rPr>
      <t>2</t>
    </r>
    <r>
      <rPr>
        <b/>
        <sz val="12"/>
        <color theme="1"/>
        <rFont val="Liberation Sans"/>
      </rPr>
      <t xml:space="preserve"> − 10x + 1</t>
    </r>
  </si>
  <si>
    <t>6x - 10</t>
  </si>
  <si>
    <t>Exemplo 4 – Newton-Raphson</t>
  </si>
  <si>
    <r>
      <t>x</t>
    </r>
    <r>
      <rPr>
        <vertAlign val="superscript"/>
        <sz val="11"/>
        <color theme="1"/>
        <rFont val="Liberation Sans"/>
      </rPr>
      <t>2</t>
    </r>
    <r>
      <rPr>
        <b/>
        <sz val="12"/>
        <color theme="1"/>
        <rFont val="Liberation Sans"/>
      </rPr>
      <t xml:space="preserve"> –9,5x+8,5</t>
    </r>
  </si>
  <si>
    <t>2x − 9,5</t>
  </si>
  <si>
    <t>Exemplo 5 – Newton-Raphson</t>
  </si>
  <si>
    <t>8 – 4,5 (x – sen x)</t>
  </si>
  <si>
    <t>f' ́(x) =</t>
  </si>
  <si>
    <t>– 4,5(1 – cos x)</t>
  </si>
  <si>
    <t>−4,5 sen(x)</t>
  </si>
  <si>
    <t>Exemplo 5 – Bisection</t>
  </si>
  <si>
    <t>N de iterações</t>
  </si>
  <si>
    <t>A</t>
  </si>
  <si>
    <t>B</t>
  </si>
  <si>
    <t>x_ns</t>
  </si>
  <si>
    <t>f(x_ns)</t>
  </si>
  <si>
    <t>f(A)</t>
  </si>
  <si>
    <t>f(B)</t>
  </si>
  <si>
    <t>f(A)*f(x_ns)</t>
  </si>
  <si>
    <t>f(x_ns)*f(B)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</si>
</sst>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00"/>
    <numFmt numFmtId="167" formatCode="0.000000"/>
  </numFmts>
  <fonts count="11">
    <font>
      <sz val="11"/>
      <color theme="1"/>
      <name val="Calibri"/>
      <family val="2"/>
      <scheme val="minor"/>
    </font>
    <font>
      <b/>
      <sz val="12"/>
      <color theme="1"/>
      <name val="Liberation Sans"/>
    </font>
    <font>
      <sz val="12"/>
      <color theme="1"/>
      <name val="Liberation Sans"/>
    </font>
    <font>
      <b/>
      <sz val="12"/>
      <color rgb="FF0000CC"/>
      <name val="Liberation Sans"/>
    </font>
    <font>
      <b/>
      <sz val="12"/>
      <color rgb="FF000000"/>
      <name val="Liberation Sans"/>
    </font>
    <font>
      <b/>
      <sz val="12"/>
      <color theme="1"/>
      <name val="Liberation Sans1"/>
    </font>
    <font>
      <b/>
      <vertAlign val="superscript"/>
      <sz val="12"/>
      <color theme="1"/>
      <name val="Liberation Sans"/>
    </font>
    <font>
      <b/>
      <sz val="12"/>
      <color rgb="FF000000"/>
      <name val="Liberation Sans2"/>
    </font>
    <font>
      <b/>
      <sz val="12"/>
      <color theme="1"/>
      <name val="Liberation Sans2"/>
    </font>
    <font>
      <vertAlign val="superscript"/>
      <sz val="11"/>
      <color theme="1"/>
      <name val="Liberation Sans"/>
    </font>
    <font>
      <b/>
      <sz val="11"/>
      <color theme="1"/>
      <name val="Liberation Sans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DDDD"/>
        <bgColor rgb="FFDDDDDD"/>
      </patternFill>
    </fill>
    <fill>
      <patternFill patternType="solid">
        <fgColor rgb="FFCCFF66"/>
        <bgColor rgb="FFCCFF66"/>
      </patternFill>
    </fill>
    <fill>
      <patternFill patternType="solid">
        <fgColor rgb="FFFFCC00"/>
        <bgColor rgb="FFFFCC00"/>
      </patternFill>
    </fill>
    <fill>
      <patternFill patternType="solid">
        <fgColor rgb="FFFF9900"/>
        <bgColor rgb="FFFF9900"/>
      </patternFill>
    </fill>
    <fill>
      <patternFill patternType="solid">
        <fgColor rgb="FFCCFF99"/>
        <bgColor rgb="FFCCFF99"/>
      </patternFill>
    </fill>
    <fill>
      <patternFill patternType="solid">
        <fgColor rgb="FF99FF33"/>
        <bgColor rgb="FF99FF33"/>
      </patternFill>
    </fill>
    <fill>
      <patternFill patternType="solid">
        <fgColor rgb="FFE6E6FF"/>
        <bgColor rgb="FFE6E6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left"/>
    </xf>
    <xf numFmtId="0" fontId="2" fillId="2" borderId="0" xfId="0" applyFont="1" applyFill="1"/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2" fillId="4" borderId="1" xfId="0" applyFont="1" applyFill="1" applyBorder="1"/>
    <xf numFmtId="164" fontId="2" fillId="4" borderId="1" xfId="0" applyNumberFormat="1" applyFont="1" applyFill="1" applyBorder="1"/>
    <xf numFmtId="0" fontId="1" fillId="3" borderId="1" xfId="0" applyFont="1" applyFill="1" applyBorder="1"/>
    <xf numFmtId="0" fontId="4" fillId="3" borderId="0" xfId="0" applyFont="1" applyFill="1" applyAlignment="1">
      <alignment horizontal="left"/>
    </xf>
    <xf numFmtId="0" fontId="1" fillId="3" borderId="0" xfId="0" applyFont="1" applyFill="1"/>
    <xf numFmtId="165" fontId="2" fillId="0" borderId="1" xfId="0" applyNumberFormat="1" applyFont="1" applyBorder="1"/>
    <xf numFmtId="0" fontId="2" fillId="5" borderId="1" xfId="0" applyFont="1" applyFill="1" applyBorder="1"/>
    <xf numFmtId="166" fontId="2" fillId="0" borderId="1" xfId="0" applyNumberFormat="1" applyFont="1" applyBorder="1"/>
    <xf numFmtId="166" fontId="2" fillId="2" borderId="1" xfId="0" applyNumberFormat="1" applyFont="1" applyFill="1" applyBorder="1"/>
    <xf numFmtId="166" fontId="1" fillId="0" borderId="1" xfId="0" applyNumberFormat="1" applyFont="1" applyBorder="1"/>
    <xf numFmtId="0" fontId="1" fillId="6" borderId="0" xfId="0" applyFont="1" applyFill="1"/>
    <xf numFmtId="0" fontId="5" fillId="2" borderId="0" xfId="0" applyFont="1" applyFill="1" applyAlignment="1">
      <alignment horizontal="justify"/>
    </xf>
    <xf numFmtId="0" fontId="1" fillId="2" borderId="0" xfId="0" applyFont="1" applyFill="1"/>
    <xf numFmtId="0" fontId="7" fillId="3" borderId="0" xfId="0" applyFont="1" applyFill="1" applyAlignment="1">
      <alignment horizontal="left"/>
    </xf>
    <xf numFmtId="0" fontId="8" fillId="3" borderId="0" xfId="0" applyFont="1" applyFill="1"/>
    <xf numFmtId="165" fontId="1" fillId="0" borderId="1" xfId="0" applyNumberFormat="1" applyFont="1" applyBorder="1"/>
    <xf numFmtId="165" fontId="2" fillId="5" borderId="1" xfId="0" applyNumberFormat="1" applyFont="1" applyFill="1" applyBorder="1"/>
    <xf numFmtId="165" fontId="1" fillId="6" borderId="0" xfId="0" applyNumberFormat="1" applyFont="1" applyFill="1"/>
    <xf numFmtId="0" fontId="2" fillId="8" borderId="1" xfId="0" applyFont="1" applyFill="1" applyBorder="1"/>
    <xf numFmtId="164" fontId="2" fillId="8" borderId="1" xfId="0" applyNumberFormat="1" applyFont="1" applyFill="1" applyBorder="1"/>
    <xf numFmtId="0" fontId="5" fillId="3" borderId="0" xfId="0" applyFont="1" applyFill="1" applyAlignment="1">
      <alignment horizontal="left"/>
    </xf>
    <xf numFmtId="0" fontId="2" fillId="3" borderId="0" xfId="0" applyFont="1" applyFill="1"/>
    <xf numFmtId="0" fontId="5" fillId="3" borderId="0" xfId="0" applyFont="1" applyFill="1" applyAlignment="1">
      <alignment horizontal="justify"/>
    </xf>
    <xf numFmtId="166" fontId="1" fillId="6" borderId="0" xfId="0" applyNumberFormat="1" applyFont="1" applyFill="1"/>
    <xf numFmtId="0" fontId="2" fillId="9" borderId="1" xfId="0" applyFont="1" applyFill="1" applyBorder="1"/>
    <xf numFmtId="164" fontId="2" fillId="9" borderId="1" xfId="0" applyNumberFormat="1" applyFont="1" applyFill="1" applyBorder="1"/>
    <xf numFmtId="0" fontId="2" fillId="7" borderId="1" xfId="0" applyFont="1" applyFill="1" applyBorder="1"/>
    <xf numFmtId="164" fontId="2" fillId="7" borderId="1" xfId="0" applyNumberFormat="1" applyFont="1" applyFill="1" applyBorder="1"/>
    <xf numFmtId="167" fontId="2" fillId="0" borderId="1" xfId="0" applyNumberFormat="1" applyFont="1" applyBorder="1"/>
    <xf numFmtId="167" fontId="1" fillId="6" borderId="0" xfId="0" applyNumberFormat="1" applyFont="1" applyFill="1"/>
    <xf numFmtId="0" fontId="0" fillId="2" borderId="0" xfId="0" applyFill="1"/>
    <xf numFmtId="0" fontId="10" fillId="2" borderId="0" xfId="0" applyFont="1" applyFill="1"/>
    <xf numFmtId="0" fontId="0" fillId="3" borderId="0" xfId="0" applyFill="1"/>
    <xf numFmtId="0" fontId="10" fillId="0" borderId="0" xfId="0" applyFont="1"/>
    <xf numFmtId="2" fontId="10" fillId="9" borderId="0" xfId="0" applyNumberFormat="1" applyFont="1" applyFill="1"/>
    <xf numFmtId="167" fontId="10" fillId="6" borderId="0" xfId="0" applyNumberFormat="1" applyFont="1" applyFill="1"/>
  </cellXfs>
  <cellStyles count="1">
    <cellStyle name="Normal" xfId="0" builtinId="0"/>
  </cellStyles>
  <dxfs count="7"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99"/>
          <bgColor rgb="FFCCFF99"/>
        </patternFill>
      </fill>
    </dxf>
    <dxf>
      <fill>
        <patternFill patternType="solid">
          <fgColor rgb="FFCCFF99"/>
          <bgColor rgb="FFCCFF99"/>
        </patternFill>
      </fill>
    </dxf>
    <dxf>
      <fill>
        <patternFill patternType="solid">
          <fgColor rgb="FFCCFF99"/>
          <bgColor rgb="FFCCFF99"/>
        </patternFill>
      </fill>
    </dxf>
    <dxf>
      <fill>
        <patternFill patternType="solid">
          <fgColor rgb="FFCCFF99"/>
          <bgColor rgb="FFCCFF99"/>
        </patternFill>
      </fill>
    </dxf>
    <dxf>
      <fill>
        <patternFill patternType="solid">
          <fgColor rgb="FFCCFF99"/>
          <bgColor rgb="FFCCFF99"/>
        </patternFill>
      </fill>
    </dxf>
    <dxf>
      <fill>
        <patternFill patternType="solid">
          <fgColor rgb="FFCCFF99"/>
          <bgColor rgb="FFCC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[1]Ex!$B$7</c:f>
              <c:strCache>
                <c:ptCount val="1"/>
                <c:pt idx="0">
                  <c:v>-14.95892427</c:v>
                </c:pt>
              </c:strCache>
            </c:strRef>
          </c:tx>
          <c:spPr>
            <a:ln w="28800">
              <a:solidFill>
                <a:srgbClr val="004586"/>
              </a:solidFill>
            </a:ln>
          </c:spPr>
          <c:marker>
            <c:symbol val="square"/>
            <c:size val="7"/>
          </c:marker>
          <c:xVal>
            <c:numRef>
              <c:f>[1]Ex!$A$8:$A$17</c:f>
              <c:numCache>
                <c:formatCode>General</c:formatCode>
                <c:ptCount val="10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</c:numCache>
            </c:numRef>
          </c:xVal>
          <c:yVal>
            <c:numRef>
              <c:f>[1]Ex!$B$8:$B$17</c:f>
              <c:numCache>
                <c:formatCode>General</c:formatCode>
                <c:ptCount val="10"/>
                <c:pt idx="0">
                  <c:v>-12.756802495307928</c:v>
                </c:pt>
                <c:pt idx="1">
                  <c:v>-9.8588799919401318</c:v>
                </c:pt>
                <c:pt idx="2">
                  <c:v>-7.0907025731743181</c:v>
                </c:pt>
                <c:pt idx="3">
                  <c:v>-5.1585290151921033</c:v>
                </c:pt>
                <c:pt idx="4">
                  <c:v>-4</c:v>
                </c:pt>
                <c:pt idx="5">
                  <c:v>-2.8414709848078967</c:v>
                </c:pt>
                <c:pt idx="6">
                  <c:v>-0.90929742682568193</c:v>
                </c:pt>
                <c:pt idx="7">
                  <c:v>1.8588799919401326</c:v>
                </c:pt>
                <c:pt idx="8">
                  <c:v>4.7568024953079284</c:v>
                </c:pt>
                <c:pt idx="9">
                  <c:v>6.9589242746631381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89-426D-AC4C-9610749E9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152943"/>
        <c:axId val="1360157263"/>
      </c:scatterChart>
      <c:valAx>
        <c:axId val="1360157263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t-BR"/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t-BR"/>
          </a:p>
        </c:txPr>
        <c:crossAx val="1360152943"/>
        <c:crossesAt val="0"/>
        <c:crossBetween val="midCat"/>
      </c:valAx>
      <c:valAx>
        <c:axId val="1360152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t-BR"/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t-BR"/>
          </a:p>
        </c:txPr>
        <c:crossAx val="1360157263"/>
        <c:crossesAt val="0"/>
        <c:crossBetween val="midCat"/>
        <c:majorUnit val="1"/>
        <c:minorUnit val="1"/>
      </c:valAx>
      <c:spPr>
        <a:noFill/>
        <a:ln>
          <a:solidFill>
            <a:srgbClr val="B3B3B3"/>
          </a:solidFill>
          <a:prstDash val="solid"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[2]Ex!$B$7</c:f>
              <c:strCache>
                <c:ptCount val="1"/>
                <c:pt idx="0">
                  <c:v>-130</c:v>
                </c:pt>
              </c:strCache>
            </c:strRef>
          </c:tx>
          <c:spPr>
            <a:ln w="28800">
              <a:solidFill>
                <a:srgbClr val="004586"/>
              </a:solidFill>
            </a:ln>
          </c:spPr>
          <c:marker>
            <c:symbol val="square"/>
            <c:size val="7"/>
          </c:marker>
          <c:xVal>
            <c:numRef>
              <c:f>[2]Ex!$A$8:$A$17</c:f>
              <c:numCache>
                <c:formatCode>General</c:formatCode>
                <c:ptCount val="10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</c:numCache>
            </c:numRef>
          </c:xVal>
          <c:yVal>
            <c:numRef>
              <c:f>[2]Ex!$B$8:$B$17</c:f>
              <c:numCache>
                <c:formatCode>General</c:formatCode>
                <c:ptCount val="10"/>
                <c:pt idx="0">
                  <c:v>-69</c:v>
                </c:pt>
                <c:pt idx="1">
                  <c:v>-32</c:v>
                </c:pt>
                <c:pt idx="2">
                  <c:v>-13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3</c:v>
                </c:pt>
                <c:pt idx="7">
                  <c:v>22</c:v>
                </c:pt>
                <c:pt idx="8">
                  <c:v>59</c:v>
                </c:pt>
                <c:pt idx="9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76-4856-AA2C-9E46A8DF7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165423"/>
        <c:axId val="1360157263"/>
      </c:scatterChart>
      <c:valAx>
        <c:axId val="1360157263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t-BR"/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t-BR"/>
          </a:p>
        </c:txPr>
        <c:crossAx val="1360165423"/>
        <c:crossesAt val="0"/>
        <c:crossBetween val="midCat"/>
      </c:valAx>
      <c:valAx>
        <c:axId val="1360165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t-BR"/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t-BR"/>
          </a:p>
        </c:txPr>
        <c:crossAx val="1360157263"/>
        <c:crossesAt val="0"/>
        <c:crossBetween val="midCat"/>
        <c:majorUnit val="1"/>
        <c:minorUnit val="1"/>
      </c:valAx>
      <c:spPr>
        <a:noFill/>
        <a:ln>
          <a:solidFill>
            <a:srgbClr val="B3B3B3"/>
          </a:solidFill>
          <a:prstDash val="solid"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[3]Ex!$B$7</c:f>
              <c:strCache>
                <c:ptCount val="1"/>
                <c:pt idx="0">
                  <c:v>-252</c:v>
                </c:pt>
              </c:strCache>
            </c:strRef>
          </c:tx>
          <c:spPr>
            <a:ln w="28800">
              <a:solidFill>
                <a:srgbClr val="004586"/>
              </a:solidFill>
            </a:ln>
          </c:spPr>
          <c:marker>
            <c:symbol val="square"/>
            <c:size val="7"/>
          </c:marker>
          <c:xVal>
            <c:numRef>
              <c:f>[3]Ex!$A$8:$A$17</c:f>
              <c:numCache>
                <c:formatCode>General</c:formatCode>
                <c:ptCount val="10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</c:numCache>
            </c:numRef>
          </c:xVal>
          <c:yVal>
            <c:numRef>
              <c:f>[3]Ex!$B$8:$B$17</c:f>
              <c:numCache>
                <c:formatCode>General</c:formatCode>
                <c:ptCount val="10"/>
                <c:pt idx="0">
                  <c:v>-145</c:v>
                </c:pt>
                <c:pt idx="1">
                  <c:v>-72</c:v>
                </c:pt>
                <c:pt idx="2">
                  <c:v>-27</c:v>
                </c:pt>
                <c:pt idx="3">
                  <c:v>-4</c:v>
                </c:pt>
                <c:pt idx="4">
                  <c:v>3</c:v>
                </c:pt>
                <c:pt idx="5">
                  <c:v>0</c:v>
                </c:pt>
                <c:pt idx="6">
                  <c:v>-7</c:v>
                </c:pt>
                <c:pt idx="7">
                  <c:v>-12</c:v>
                </c:pt>
                <c:pt idx="8">
                  <c:v>-9</c:v>
                </c:pt>
                <c:pt idx="9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18-4A58-90CC-57697673D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275200"/>
        <c:axId val="522274720"/>
      </c:scatterChart>
      <c:valAx>
        <c:axId val="52227472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t-BR"/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t-BR"/>
          </a:p>
        </c:txPr>
        <c:crossAx val="522275200"/>
        <c:crossesAt val="0"/>
        <c:crossBetween val="midCat"/>
      </c:valAx>
      <c:valAx>
        <c:axId val="522275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t-BR"/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t-BR"/>
          </a:p>
        </c:txPr>
        <c:crossAx val="522274720"/>
        <c:crossesAt val="0"/>
        <c:crossBetween val="midCat"/>
        <c:majorUnit val="1"/>
        <c:minorUnit val="1"/>
      </c:valAx>
      <c:spPr>
        <a:noFill/>
        <a:ln>
          <a:solidFill>
            <a:srgbClr val="B3B3B3"/>
          </a:solidFill>
          <a:prstDash val="solid"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800">
              <a:solidFill>
                <a:srgbClr val="004586"/>
              </a:solidFill>
            </a:ln>
          </c:spPr>
          <c:marker>
            <c:symbol val="square"/>
            <c:size val="7"/>
          </c:marker>
          <c:xVal>
            <c:numRef>
              <c:f>[4]Ex!$A$7:$A$19</c:f>
              <c:numCache>
                <c:formatCode>General</c:formatCode>
                <c:ptCount val="13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</c:numCache>
            </c:numRef>
          </c:xVal>
          <c:yVal>
            <c:numRef>
              <c:f>[4]Ex!$B$7:$B$19</c:f>
              <c:numCache>
                <c:formatCode>General</c:formatCode>
                <c:ptCount val="13"/>
                <c:pt idx="0">
                  <c:v>19</c:v>
                </c:pt>
                <c:pt idx="1">
                  <c:v>8.5</c:v>
                </c:pt>
                <c:pt idx="2">
                  <c:v>0</c:v>
                </c:pt>
                <c:pt idx="3">
                  <c:v>-6.5</c:v>
                </c:pt>
                <c:pt idx="4">
                  <c:v>-11</c:v>
                </c:pt>
                <c:pt idx="5">
                  <c:v>-13.5</c:v>
                </c:pt>
                <c:pt idx="6">
                  <c:v>-14</c:v>
                </c:pt>
                <c:pt idx="7">
                  <c:v>-12.5</c:v>
                </c:pt>
                <c:pt idx="8">
                  <c:v>-9</c:v>
                </c:pt>
                <c:pt idx="9">
                  <c:v>-3.5</c:v>
                </c:pt>
                <c:pt idx="10">
                  <c:v>4</c:v>
                </c:pt>
                <c:pt idx="11">
                  <c:v>13.5</c:v>
                </c:pt>
                <c:pt idx="12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A6-4D35-BF91-237EA0041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297280"/>
        <c:axId val="522279040"/>
      </c:scatterChart>
      <c:valAx>
        <c:axId val="52227904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t-BR"/>
                  <a:t>f(x)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t-BR"/>
          </a:p>
        </c:txPr>
        <c:crossAx val="522297280"/>
        <c:crossesAt val="0"/>
        <c:crossBetween val="midCat"/>
      </c:valAx>
      <c:valAx>
        <c:axId val="522297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t-BR"/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t-BR"/>
          </a:p>
        </c:txPr>
        <c:crossAx val="522279040"/>
        <c:crossesAt val="0"/>
        <c:crossBetween val="midCat"/>
        <c:majorUnit val="1"/>
        <c:minorUnit val="1"/>
      </c:valAx>
      <c:spPr>
        <a:noFill/>
        <a:ln>
          <a:solidFill>
            <a:srgbClr val="B3B3B3"/>
          </a:solidFill>
          <a:prstDash val="solid"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800">
              <a:solidFill>
                <a:srgbClr val="004586"/>
              </a:solidFill>
            </a:ln>
          </c:spPr>
          <c:marker>
            <c:symbol val="square"/>
            <c:size val="7"/>
          </c:marker>
          <c:xVal>
            <c:numRef>
              <c:f>[5]Ex_Newton!$A$7:$A$19</c:f>
              <c:numCache>
                <c:formatCode>General</c:formatCode>
                <c:ptCount val="13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</c:numCache>
            </c:numRef>
          </c:xVal>
          <c:yVal>
            <c:numRef>
              <c:f>[5]Ex_Newton!$B$7:$B$19</c:f>
              <c:numCache>
                <c:formatCode>General</c:formatCode>
                <c:ptCount val="13"/>
                <c:pt idx="0">
                  <c:v>8.7133805683644656</c:v>
                </c:pt>
                <c:pt idx="1">
                  <c:v>8</c:v>
                </c:pt>
                <c:pt idx="2">
                  <c:v>7.2866194316355344</c:v>
                </c:pt>
                <c:pt idx="3">
                  <c:v>3.0918384207155674</c:v>
                </c:pt>
                <c:pt idx="4">
                  <c:v>-4.8649599637305965</c:v>
                </c:pt>
                <c:pt idx="5">
                  <c:v>-13.405611228885679</c:v>
                </c:pt>
                <c:pt idx="6">
                  <c:v>-18.815159235984122</c:v>
                </c:pt>
                <c:pt idx="7">
                  <c:v>-20.257369741895168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CB-45DB-A0C6-638724B25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094736"/>
        <c:axId val="537093776"/>
      </c:scatterChart>
      <c:valAx>
        <c:axId val="53709377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t-BR"/>
                  <a:t>f(x)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t-BR"/>
          </a:p>
        </c:txPr>
        <c:crossAx val="537094736"/>
        <c:crossesAt val="0"/>
        <c:crossBetween val="midCat"/>
      </c:valAx>
      <c:valAx>
        <c:axId val="537094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t-BR"/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t-BR"/>
          </a:p>
        </c:txPr>
        <c:crossAx val="537093776"/>
        <c:crossesAt val="0"/>
        <c:crossBetween val="midCat"/>
        <c:majorUnit val="1"/>
        <c:minorUnit val="1"/>
      </c:valAx>
      <c:spPr>
        <a:noFill/>
        <a:ln>
          <a:solidFill>
            <a:srgbClr val="B3B3B3"/>
          </a:solidFill>
          <a:prstDash val="solid"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800">
              <a:solidFill>
                <a:srgbClr val="004586"/>
              </a:solidFill>
            </a:ln>
          </c:spPr>
          <c:marker>
            <c:symbol val="square"/>
            <c:size val="7"/>
          </c:marker>
          <c:xVal>
            <c:strRef>
              <c:f>[5]Ex_bisection!$A$6:$A$14</c:f>
              <c:strCache>
                <c:ptCount val="9"/>
                <c:pt idx="0">
                  <c:v>x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</c:strCache>
            </c:strRef>
          </c:xVal>
          <c:yVal>
            <c:numRef>
              <c:f>[5]Ex_bisection!$B$6:$B$14</c:f>
              <c:numCache>
                <c:formatCode>General</c:formatCode>
                <c:ptCount val="9"/>
                <c:pt idx="0">
                  <c:v>0</c:v>
                </c:pt>
                <c:pt idx="1">
                  <c:v>8.7133805683644656</c:v>
                </c:pt>
                <c:pt idx="2">
                  <c:v>8</c:v>
                </c:pt>
                <c:pt idx="3">
                  <c:v>7.2866194316355344</c:v>
                </c:pt>
                <c:pt idx="4">
                  <c:v>3.0918384207155674</c:v>
                </c:pt>
                <c:pt idx="5">
                  <c:v>-4.8649599637305965</c:v>
                </c:pt>
                <c:pt idx="6">
                  <c:v>-13.405611228885679</c:v>
                </c:pt>
                <c:pt idx="7">
                  <c:v>-18.815159235984122</c:v>
                </c:pt>
                <c:pt idx="8">
                  <c:v>-20.257369741895168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5D-4AB2-A218-0A27CDEBA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098576"/>
        <c:axId val="537085616"/>
      </c:scatterChart>
      <c:valAx>
        <c:axId val="53708561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t-BR"/>
                  <a:t>f(x)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t-BR"/>
          </a:p>
        </c:txPr>
        <c:crossAx val="537098576"/>
        <c:crossesAt val="0"/>
        <c:crossBetween val="midCat"/>
      </c:valAx>
      <c:valAx>
        <c:axId val="537098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t-BR"/>
                  <a:t>x</a:t>
                </a:r>
              </a:p>
            </c:rich>
          </c:tx>
          <c:overlay val="0"/>
        </c:title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pt-BR"/>
          </a:p>
        </c:txPr>
        <c:crossAx val="537085616"/>
        <c:crossesAt val="0"/>
        <c:crossBetween val="midCat"/>
        <c:majorUnit val="1"/>
        <c:minorUnit val="1"/>
      </c:valAx>
      <c:spPr>
        <a:noFill/>
        <a:ln>
          <a:solidFill>
            <a:srgbClr val="B3B3B3"/>
          </a:solidFill>
          <a:prstDash val="solid"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469571" y="1006928"/>
    <xdr:ext cx="5058735" cy="309314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97C228F-63C6-4784-8957-D90D1E20F4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2177143" y="5851071"/>
    <xdr:ext cx="1158480" cy="46692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279BF51E-AA17-4C2F-9224-3FB1FFBFF321}"/>
                </a:ext>
              </a:extLst>
            </xdr:cNvPr>
            <xdr:cNvSpPr txBox="1">
              <a:spLocks noResize="1"/>
            </xdr:cNvSpPr>
          </xdr:nvSpPr>
          <xdr:spPr>
            <a:xfrm>
              <a:off x="2177143" y="5851071"/>
              <a:ext cx="1158480" cy="466920"/>
            </a:xfrm>
            <a:prstGeom prst="rect">
              <a:avLst/>
            </a:prstGeom>
            <a:noFill/>
            <a:ln>
              <a:noFill/>
            </a:ln>
          </xdr:spPr>
          <xdr:txBody>
            <a:bodyPr vert="horz" wrap="none" lIns="0" tIns="0" rIns="0" bIns="0" anchor="ctr" anchorCtr="1" compatLnSpc="0">
              <a:noAutofit/>
            </a:bodyPr>
            <a:lstStyle/>
            <a:p>
              <a:pPr lvl="0" rtl="0" hangingPunct="0">
                <a:buNone/>
                <a:tabLst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b="1">
                            <a:solidFill>
                              <a:srgbClr val="00008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b="1">
                            <a:solidFill>
                              <a:srgbClr val="000080"/>
                            </a:solidFill>
                            <a:latin typeface="Cambria Math" panose="02040503050406030204" pitchFamily="18" charset="0"/>
                          </a:rPr>
                          <m:t>𝐱</m:t>
                        </m:r>
                      </m:e>
                      <m:sub>
                        <m:r>
                          <a:rPr lang="pt-BR" b="1" i="0">
                            <a:solidFill>
                              <a:srgbClr val="000080"/>
                            </a:solidFill>
                            <a:latin typeface="Cambria Math" panose="02040503050406030204" pitchFamily="18" charset="0"/>
                          </a:rPr>
                          <m:t>𝐢</m:t>
                        </m:r>
                        <m:r>
                          <a:rPr lang="pt-BR" b="0" i="0">
                            <a:solidFill>
                              <a:srgbClr val="000080"/>
                            </a:solidFill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pt-BR" b="1" i="0">
                            <a:solidFill>
                              <a:srgbClr val="00008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pt-BR" b="0" i="0">
                        <a:solidFill>
                          <a:srgbClr val="00008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b="0" i="1">
                            <a:solidFill>
                              <a:srgbClr val="00008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b="1" i="0">
                            <a:solidFill>
                              <a:srgbClr val="000080"/>
                            </a:solidFill>
                            <a:latin typeface="Cambria Math" panose="02040503050406030204" pitchFamily="18" charset="0"/>
                          </a:rPr>
                          <m:t>𝐱</m:t>
                        </m:r>
                      </m:e>
                      <m:sub>
                        <m:r>
                          <a:rPr lang="pt-BR" b="1" i="0">
                            <a:solidFill>
                              <a:srgbClr val="000080"/>
                            </a:solidFill>
                            <a:latin typeface="Cambria Math" panose="02040503050406030204" pitchFamily="18" charset="0"/>
                          </a:rPr>
                          <m:t>𝐢</m:t>
                        </m:r>
                      </m:sub>
                    </m:sSub>
                    <m:r>
                      <a:rPr lang="pt-BR" b="0" i="0">
                        <a:solidFill>
                          <a:srgbClr val="000080"/>
                        </a:solidFill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pt-BR" b="0" i="1">
                            <a:solidFill>
                              <a:srgbClr val="00008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b="1" i="0">
                            <a:solidFill>
                              <a:srgbClr val="000080"/>
                            </a:solidFill>
                            <a:latin typeface="Cambria Math" panose="02040503050406030204" pitchFamily="18" charset="0"/>
                          </a:rPr>
                          <m:t>𝐟</m:t>
                        </m:r>
                        <m:d>
                          <m:dPr>
                            <m:ctrlPr>
                              <a:rPr lang="pt-BR" b="1" i="1">
                                <a:solidFill>
                                  <a:srgbClr val="00008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t-BR" b="1" i="1">
                                    <a:solidFill>
                                      <a:srgbClr val="00008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t-BR" b="1" i="0">
                                    <a:solidFill>
                                      <a:srgbClr val="000080"/>
                                    </a:solidFill>
                                    <a:latin typeface="Cambria Math" panose="02040503050406030204" pitchFamily="18" charset="0"/>
                                  </a:rPr>
                                  <m:t>𝐱</m:t>
                                </m:r>
                              </m:e>
                              <m:sub>
                                <m:r>
                                  <a:rPr lang="pt-BR" b="1" i="0">
                                    <a:solidFill>
                                      <a:srgbClr val="000080"/>
                                    </a:solidFill>
                                    <a:latin typeface="Cambria Math" panose="02040503050406030204" pitchFamily="18" charset="0"/>
                                  </a:rPr>
                                  <m:t>𝐢</m:t>
                                </m:r>
                              </m:sub>
                            </m:sSub>
                          </m:e>
                        </m:d>
                      </m:num>
                      <m:den>
                        <m:r>
                          <a:rPr lang="pt-BR" b="1" i="0">
                            <a:solidFill>
                              <a:srgbClr val="000080"/>
                            </a:solidFill>
                            <a:latin typeface="Cambria Math" panose="02040503050406030204" pitchFamily="18" charset="0"/>
                          </a:rPr>
                          <m:t>𝐟</m:t>
                        </m:r>
                        <m:r>
                          <a:rPr lang="pt-BR" b="0" i="0">
                            <a:solidFill>
                              <a:srgbClr val="000080"/>
                            </a:solidFill>
                            <a:latin typeface="Cambria Math" panose="02040503050406030204" pitchFamily="18" charset="0"/>
                          </a:rPr>
                          <m:t>′</m:t>
                        </m:r>
                        <m:d>
                          <m:dPr>
                            <m:ctrlPr>
                              <a:rPr lang="pt-BR" b="0" i="1">
                                <a:solidFill>
                                  <a:srgbClr val="00008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t-BR" b="0" i="1">
                                    <a:solidFill>
                                      <a:srgbClr val="00008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t-BR" b="1" i="0">
                                    <a:solidFill>
                                      <a:srgbClr val="000080"/>
                                    </a:solidFill>
                                    <a:latin typeface="Cambria Math" panose="02040503050406030204" pitchFamily="18" charset="0"/>
                                  </a:rPr>
                                  <m:t>𝐱</m:t>
                                </m:r>
                              </m:e>
                              <m:sub>
                                <m:r>
                                  <a:rPr lang="pt-BR" b="1" i="0">
                                    <a:solidFill>
                                      <a:srgbClr val="000080"/>
                                    </a:solidFill>
                                    <a:latin typeface="Cambria Math" panose="02040503050406030204" pitchFamily="18" charset="0"/>
                                  </a:rPr>
                                  <m:t>𝐢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pt-BR" b="0">
                <a:solidFill>
                  <a:srgbClr val="000080"/>
                </a:solidFill>
                <a:latin typeface="Liberation Serif" pitchFamily="18"/>
              </a:endParaRPr>
            </a:p>
          </xdr:txBody>
        </xdr:sp>
      </mc:Choice>
      <mc:Fallback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279BF51E-AA17-4C2F-9224-3FB1FFBFF321}"/>
                </a:ext>
              </a:extLst>
            </xdr:cNvPr>
            <xdr:cNvSpPr txBox="1">
              <a:spLocks noResize="1"/>
            </xdr:cNvSpPr>
          </xdr:nvSpPr>
          <xdr:spPr>
            <a:xfrm>
              <a:off x="2177143" y="5851071"/>
              <a:ext cx="1158480" cy="466920"/>
            </a:xfrm>
            <a:prstGeom prst="rect">
              <a:avLst/>
            </a:prstGeom>
            <a:noFill/>
            <a:ln>
              <a:noFill/>
            </a:ln>
          </xdr:spPr>
          <xdr:txBody>
            <a:bodyPr vert="horz" wrap="none" lIns="0" tIns="0" rIns="0" bIns="0" anchor="ctr" anchorCtr="1" compatLnSpc="0">
              <a:noAutofit/>
            </a:bodyPr>
            <a:lstStyle/>
            <a:p>
              <a:pPr lvl="0" rtl="0" hangingPunct="0">
                <a:buNone/>
                <a:tabLst/>
              </a:pPr>
              <a:r>
                <a:rPr lang="pt-BR" b="1" i="0">
                  <a:solidFill>
                    <a:srgbClr val="000080"/>
                  </a:solidFill>
                  <a:latin typeface="Cambria Math" panose="02040503050406030204" pitchFamily="18" charset="0"/>
                </a:rPr>
                <a:t>𝐱_(𝐢</a:t>
              </a:r>
              <a:r>
                <a:rPr lang="pt-BR" b="0" i="0">
                  <a:solidFill>
                    <a:srgbClr val="000080"/>
                  </a:solidFill>
                  <a:latin typeface="Cambria Math" panose="02040503050406030204" pitchFamily="18" charset="0"/>
                </a:rPr>
                <a:t>+</a:t>
              </a:r>
              <a:r>
                <a:rPr lang="pt-BR" b="1" i="0">
                  <a:solidFill>
                    <a:srgbClr val="000080"/>
                  </a:solidFill>
                  <a:latin typeface="Cambria Math" panose="02040503050406030204" pitchFamily="18" charset="0"/>
                </a:rPr>
                <a:t>𝟏)</a:t>
              </a:r>
              <a:r>
                <a:rPr lang="pt-BR" b="0" i="0">
                  <a:solidFill>
                    <a:srgbClr val="000080"/>
                  </a:solidFill>
                  <a:latin typeface="Cambria Math" panose="02040503050406030204" pitchFamily="18" charset="0"/>
                </a:rPr>
                <a:t>=</a:t>
              </a:r>
              <a:r>
                <a:rPr lang="pt-BR" b="1" i="0">
                  <a:solidFill>
                    <a:srgbClr val="000080"/>
                  </a:solidFill>
                  <a:latin typeface="Cambria Math" panose="02040503050406030204" pitchFamily="18" charset="0"/>
                </a:rPr>
                <a:t>𝐱</a:t>
              </a:r>
              <a:r>
                <a:rPr lang="pt-BR" b="0" i="0">
                  <a:solidFill>
                    <a:srgbClr val="000080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b="1" i="0">
                  <a:solidFill>
                    <a:srgbClr val="000080"/>
                  </a:solidFill>
                  <a:latin typeface="Cambria Math" panose="02040503050406030204" pitchFamily="18" charset="0"/>
                </a:rPr>
                <a:t>𝐢</a:t>
              </a:r>
              <a:r>
                <a:rPr lang="pt-BR" b="0" i="0">
                  <a:solidFill>
                    <a:srgbClr val="000080"/>
                  </a:solidFill>
                  <a:latin typeface="Cambria Math" panose="02040503050406030204" pitchFamily="18" charset="0"/>
                </a:rPr>
                <a:t>−</a:t>
              </a:r>
              <a:r>
                <a:rPr lang="pt-BR" b="1" i="0">
                  <a:solidFill>
                    <a:srgbClr val="000080"/>
                  </a:solidFill>
                  <a:latin typeface="Cambria Math" panose="02040503050406030204" pitchFamily="18" charset="0"/>
                </a:rPr>
                <a:t>𝐟(𝐱_𝐢 )</a:t>
              </a:r>
              <a:r>
                <a:rPr lang="pt-BR" b="0" i="0">
                  <a:solidFill>
                    <a:srgbClr val="000080"/>
                  </a:solidFill>
                  <a:latin typeface="Cambria Math" panose="02040503050406030204" pitchFamily="18" charset="0"/>
                </a:rPr>
                <a:t>/</a:t>
              </a:r>
              <a:r>
                <a:rPr lang="pt-BR" b="1" i="0">
                  <a:solidFill>
                    <a:srgbClr val="000080"/>
                  </a:solidFill>
                  <a:latin typeface="Cambria Math" panose="02040503050406030204" pitchFamily="18" charset="0"/>
                </a:rPr>
                <a:t>𝐟</a:t>
              </a:r>
              <a:r>
                <a:rPr lang="pt-BR" b="0" i="0">
                  <a:solidFill>
                    <a:srgbClr val="000080"/>
                  </a:solidFill>
                  <a:latin typeface="Cambria Math" panose="02040503050406030204" pitchFamily="18" charset="0"/>
                </a:rPr>
                <a:t>′(</a:t>
              </a:r>
              <a:r>
                <a:rPr lang="pt-BR" b="1" i="0">
                  <a:solidFill>
                    <a:srgbClr val="000080"/>
                  </a:solidFill>
                  <a:latin typeface="Cambria Math" panose="02040503050406030204" pitchFamily="18" charset="0"/>
                </a:rPr>
                <a:t>𝐱</a:t>
              </a:r>
              <a:r>
                <a:rPr lang="pt-BR" b="0" i="0">
                  <a:solidFill>
                    <a:srgbClr val="000080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b="1" i="0">
                  <a:solidFill>
                    <a:srgbClr val="000080"/>
                  </a:solidFill>
                  <a:latin typeface="Cambria Math" panose="02040503050406030204" pitchFamily="18" charset="0"/>
                </a:rPr>
                <a:t>𝐢</a:t>
              </a:r>
              <a:r>
                <a:rPr lang="pt-BR" b="0" i="0">
                  <a:solidFill>
                    <a:srgbClr val="000080"/>
                  </a:solidFill>
                  <a:latin typeface="Cambria Math" panose="02040503050406030204" pitchFamily="18" charset="0"/>
                </a:rPr>
                <a:t> ) </a:t>
              </a:r>
              <a:endParaRPr lang="pt-BR" b="0">
                <a:solidFill>
                  <a:srgbClr val="000080"/>
                </a:solidFill>
                <a:latin typeface="Liberation Serif" pitchFamily="18"/>
              </a:endParaRPr>
            </a:p>
          </xdr:txBody>
        </xdr:sp>
      </mc:Fallback>
    </mc:AlternateContent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707821" y="5851071"/>
    <xdr:ext cx="1158480" cy="46692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FD38F11A-BA5A-4896-9943-C39D77B1434C}"/>
                </a:ext>
              </a:extLst>
            </xdr:cNvPr>
            <xdr:cNvSpPr txBox="1">
              <a:spLocks noResize="1"/>
            </xdr:cNvSpPr>
          </xdr:nvSpPr>
          <xdr:spPr>
            <a:xfrm>
              <a:off x="2707821" y="5851071"/>
              <a:ext cx="1158480" cy="466920"/>
            </a:xfrm>
            <a:prstGeom prst="rect">
              <a:avLst/>
            </a:prstGeom>
            <a:noFill/>
            <a:ln>
              <a:noFill/>
            </a:ln>
          </xdr:spPr>
          <xdr:txBody>
            <a:bodyPr vert="horz" wrap="none" lIns="0" tIns="0" rIns="0" bIns="0" anchor="ctr" anchorCtr="1" compatLnSpc="0">
              <a:noAutofit/>
            </a:bodyPr>
            <a:lstStyle/>
            <a:p>
              <a:pPr lvl="0" rtl="0" hangingPunct="0">
                <a:buNone/>
                <a:tabLst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b="1">
                            <a:solidFill>
                              <a:srgbClr val="00008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b="1">
                            <a:solidFill>
                              <a:srgbClr val="000080"/>
                            </a:solidFill>
                            <a:latin typeface="Cambria Math" panose="02040503050406030204" pitchFamily="18" charset="0"/>
                          </a:rPr>
                          <m:t>𝐱</m:t>
                        </m:r>
                      </m:e>
                      <m:sub>
                        <m:r>
                          <a:rPr lang="pt-BR" b="1" i="0">
                            <a:solidFill>
                              <a:srgbClr val="000080"/>
                            </a:solidFill>
                            <a:latin typeface="Cambria Math" panose="02040503050406030204" pitchFamily="18" charset="0"/>
                          </a:rPr>
                          <m:t>𝐢</m:t>
                        </m:r>
                        <m:r>
                          <a:rPr lang="pt-BR" b="0" i="0">
                            <a:solidFill>
                              <a:srgbClr val="000080"/>
                            </a:solidFill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pt-BR" b="1" i="0">
                            <a:solidFill>
                              <a:srgbClr val="00008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pt-BR" b="0" i="0">
                        <a:solidFill>
                          <a:srgbClr val="000080"/>
                        </a:solidFill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b="0" i="1">
                            <a:solidFill>
                              <a:srgbClr val="00008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b="1" i="0">
                            <a:solidFill>
                              <a:srgbClr val="000080"/>
                            </a:solidFill>
                            <a:latin typeface="Cambria Math" panose="02040503050406030204" pitchFamily="18" charset="0"/>
                          </a:rPr>
                          <m:t>𝐱</m:t>
                        </m:r>
                      </m:e>
                      <m:sub>
                        <m:r>
                          <a:rPr lang="pt-BR" b="1" i="0">
                            <a:solidFill>
                              <a:srgbClr val="000080"/>
                            </a:solidFill>
                            <a:latin typeface="Cambria Math" panose="02040503050406030204" pitchFamily="18" charset="0"/>
                          </a:rPr>
                          <m:t>𝐢</m:t>
                        </m:r>
                      </m:sub>
                    </m:sSub>
                    <m:r>
                      <a:rPr lang="pt-BR" b="0" i="0">
                        <a:solidFill>
                          <a:srgbClr val="000080"/>
                        </a:solidFill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pt-BR" b="0" i="1">
                            <a:solidFill>
                              <a:srgbClr val="00008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b="1" i="0">
                            <a:solidFill>
                              <a:srgbClr val="000080"/>
                            </a:solidFill>
                            <a:latin typeface="Cambria Math" panose="02040503050406030204" pitchFamily="18" charset="0"/>
                          </a:rPr>
                          <m:t>𝐟</m:t>
                        </m:r>
                        <m:d>
                          <m:dPr>
                            <m:ctrlPr>
                              <a:rPr lang="pt-BR" b="1" i="1">
                                <a:solidFill>
                                  <a:srgbClr val="00008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t-BR" b="1" i="1">
                                    <a:solidFill>
                                      <a:srgbClr val="00008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t-BR" b="1" i="0">
                                    <a:solidFill>
                                      <a:srgbClr val="000080"/>
                                    </a:solidFill>
                                    <a:latin typeface="Cambria Math" panose="02040503050406030204" pitchFamily="18" charset="0"/>
                                  </a:rPr>
                                  <m:t>𝐱</m:t>
                                </m:r>
                              </m:e>
                              <m:sub>
                                <m:r>
                                  <a:rPr lang="pt-BR" b="1" i="0">
                                    <a:solidFill>
                                      <a:srgbClr val="000080"/>
                                    </a:solidFill>
                                    <a:latin typeface="Cambria Math" panose="02040503050406030204" pitchFamily="18" charset="0"/>
                                  </a:rPr>
                                  <m:t>𝐢</m:t>
                                </m:r>
                              </m:sub>
                            </m:sSub>
                          </m:e>
                        </m:d>
                      </m:num>
                      <m:den>
                        <m:r>
                          <a:rPr lang="pt-BR" b="1" i="0">
                            <a:solidFill>
                              <a:srgbClr val="000080"/>
                            </a:solidFill>
                            <a:latin typeface="Cambria Math" panose="02040503050406030204" pitchFamily="18" charset="0"/>
                          </a:rPr>
                          <m:t>𝐟</m:t>
                        </m:r>
                        <m:r>
                          <a:rPr lang="pt-BR" b="0" i="0">
                            <a:solidFill>
                              <a:srgbClr val="000080"/>
                            </a:solidFill>
                            <a:latin typeface="Cambria Math" panose="02040503050406030204" pitchFamily="18" charset="0"/>
                          </a:rPr>
                          <m:t>′</m:t>
                        </m:r>
                        <m:d>
                          <m:dPr>
                            <m:ctrlPr>
                              <a:rPr lang="pt-BR" b="0" i="1">
                                <a:solidFill>
                                  <a:srgbClr val="00008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t-BR" b="0" i="1">
                                    <a:solidFill>
                                      <a:srgbClr val="00008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t-BR" b="1" i="0">
                                    <a:solidFill>
                                      <a:srgbClr val="000080"/>
                                    </a:solidFill>
                                    <a:latin typeface="Cambria Math" panose="02040503050406030204" pitchFamily="18" charset="0"/>
                                  </a:rPr>
                                  <m:t>𝐱</m:t>
                                </m:r>
                              </m:e>
                              <m:sub>
                                <m:r>
                                  <a:rPr lang="pt-BR" b="1" i="0">
                                    <a:solidFill>
                                      <a:srgbClr val="000080"/>
                                    </a:solidFill>
                                    <a:latin typeface="Cambria Math" panose="02040503050406030204" pitchFamily="18" charset="0"/>
                                  </a:rPr>
                                  <m:t>𝐢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pt-BR" b="0">
                <a:solidFill>
                  <a:srgbClr val="000080"/>
                </a:solidFill>
                <a:latin typeface="Liberation Serif" pitchFamily="18"/>
              </a:endParaRPr>
            </a:p>
          </xdr:txBody>
        </xdr:sp>
      </mc:Choice>
      <mc:Fallback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FD38F11A-BA5A-4896-9943-C39D77B1434C}"/>
                </a:ext>
              </a:extLst>
            </xdr:cNvPr>
            <xdr:cNvSpPr txBox="1">
              <a:spLocks noResize="1"/>
            </xdr:cNvSpPr>
          </xdr:nvSpPr>
          <xdr:spPr>
            <a:xfrm>
              <a:off x="2707821" y="5851071"/>
              <a:ext cx="1158480" cy="466920"/>
            </a:xfrm>
            <a:prstGeom prst="rect">
              <a:avLst/>
            </a:prstGeom>
            <a:noFill/>
            <a:ln>
              <a:noFill/>
            </a:ln>
          </xdr:spPr>
          <xdr:txBody>
            <a:bodyPr vert="horz" wrap="none" lIns="0" tIns="0" rIns="0" bIns="0" anchor="ctr" anchorCtr="1" compatLnSpc="0">
              <a:noAutofit/>
            </a:bodyPr>
            <a:lstStyle/>
            <a:p>
              <a:pPr lvl="0" rtl="0" hangingPunct="0">
                <a:buNone/>
                <a:tabLst/>
              </a:pPr>
              <a:r>
                <a:rPr lang="pt-BR" b="1" i="0">
                  <a:solidFill>
                    <a:srgbClr val="000080"/>
                  </a:solidFill>
                  <a:latin typeface="Cambria Math" panose="02040503050406030204" pitchFamily="18" charset="0"/>
                </a:rPr>
                <a:t>𝐱_(𝐢</a:t>
              </a:r>
              <a:r>
                <a:rPr lang="pt-BR" b="0" i="0">
                  <a:solidFill>
                    <a:srgbClr val="000080"/>
                  </a:solidFill>
                  <a:latin typeface="Cambria Math" panose="02040503050406030204" pitchFamily="18" charset="0"/>
                </a:rPr>
                <a:t>+</a:t>
              </a:r>
              <a:r>
                <a:rPr lang="pt-BR" b="1" i="0">
                  <a:solidFill>
                    <a:srgbClr val="000080"/>
                  </a:solidFill>
                  <a:latin typeface="Cambria Math" panose="02040503050406030204" pitchFamily="18" charset="0"/>
                </a:rPr>
                <a:t>𝟏)</a:t>
              </a:r>
              <a:r>
                <a:rPr lang="pt-BR" b="0" i="0">
                  <a:solidFill>
                    <a:srgbClr val="000080"/>
                  </a:solidFill>
                  <a:latin typeface="Cambria Math" panose="02040503050406030204" pitchFamily="18" charset="0"/>
                </a:rPr>
                <a:t>=</a:t>
              </a:r>
              <a:r>
                <a:rPr lang="pt-BR" b="1" i="0">
                  <a:solidFill>
                    <a:srgbClr val="000080"/>
                  </a:solidFill>
                  <a:latin typeface="Cambria Math" panose="02040503050406030204" pitchFamily="18" charset="0"/>
                </a:rPr>
                <a:t>𝐱</a:t>
              </a:r>
              <a:r>
                <a:rPr lang="pt-BR" b="0" i="0">
                  <a:solidFill>
                    <a:srgbClr val="000080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b="1" i="0">
                  <a:solidFill>
                    <a:srgbClr val="000080"/>
                  </a:solidFill>
                  <a:latin typeface="Cambria Math" panose="02040503050406030204" pitchFamily="18" charset="0"/>
                </a:rPr>
                <a:t>𝐢</a:t>
              </a:r>
              <a:r>
                <a:rPr lang="pt-BR" b="0" i="0">
                  <a:solidFill>
                    <a:srgbClr val="000080"/>
                  </a:solidFill>
                  <a:latin typeface="Cambria Math" panose="02040503050406030204" pitchFamily="18" charset="0"/>
                </a:rPr>
                <a:t>−</a:t>
              </a:r>
              <a:r>
                <a:rPr lang="pt-BR" b="1" i="0">
                  <a:solidFill>
                    <a:srgbClr val="000080"/>
                  </a:solidFill>
                  <a:latin typeface="Cambria Math" panose="02040503050406030204" pitchFamily="18" charset="0"/>
                </a:rPr>
                <a:t>𝐟(𝐱_𝐢 )</a:t>
              </a:r>
              <a:r>
                <a:rPr lang="pt-BR" b="0" i="0">
                  <a:solidFill>
                    <a:srgbClr val="000080"/>
                  </a:solidFill>
                  <a:latin typeface="Cambria Math" panose="02040503050406030204" pitchFamily="18" charset="0"/>
                </a:rPr>
                <a:t>/</a:t>
              </a:r>
              <a:r>
                <a:rPr lang="pt-BR" b="1" i="0">
                  <a:solidFill>
                    <a:srgbClr val="000080"/>
                  </a:solidFill>
                  <a:latin typeface="Cambria Math" panose="02040503050406030204" pitchFamily="18" charset="0"/>
                </a:rPr>
                <a:t>𝐟</a:t>
              </a:r>
              <a:r>
                <a:rPr lang="pt-BR" b="0" i="0">
                  <a:solidFill>
                    <a:srgbClr val="000080"/>
                  </a:solidFill>
                  <a:latin typeface="Cambria Math" panose="02040503050406030204" pitchFamily="18" charset="0"/>
                </a:rPr>
                <a:t>′(</a:t>
              </a:r>
              <a:r>
                <a:rPr lang="pt-BR" b="1" i="0">
                  <a:solidFill>
                    <a:srgbClr val="000080"/>
                  </a:solidFill>
                  <a:latin typeface="Cambria Math" panose="02040503050406030204" pitchFamily="18" charset="0"/>
                </a:rPr>
                <a:t>𝐱</a:t>
              </a:r>
              <a:r>
                <a:rPr lang="pt-BR" b="0" i="0">
                  <a:solidFill>
                    <a:srgbClr val="000080"/>
                  </a:solidFill>
                  <a:latin typeface="Cambria Math" panose="02040503050406030204" pitchFamily="18" charset="0"/>
                </a:rPr>
                <a:t>_</a:t>
              </a:r>
              <a:r>
                <a:rPr lang="pt-BR" b="1" i="0">
                  <a:solidFill>
                    <a:srgbClr val="000080"/>
                  </a:solidFill>
                  <a:latin typeface="Cambria Math" panose="02040503050406030204" pitchFamily="18" charset="0"/>
                </a:rPr>
                <a:t>𝐢</a:t>
              </a:r>
              <a:r>
                <a:rPr lang="pt-BR" b="0" i="0">
                  <a:solidFill>
                    <a:srgbClr val="000080"/>
                  </a:solidFill>
                  <a:latin typeface="Cambria Math" panose="02040503050406030204" pitchFamily="18" charset="0"/>
                </a:rPr>
                <a:t> ) </a:t>
              </a:r>
              <a:endParaRPr lang="pt-BR" b="0">
                <a:solidFill>
                  <a:srgbClr val="000080"/>
                </a:solidFill>
                <a:latin typeface="Liberation Serif" pitchFamily="18"/>
              </a:endParaRPr>
            </a:p>
          </xdr:txBody>
        </xdr:sp>
      </mc:Fallback>
    </mc:AlternateContent>
    <xdr:clientData/>
  </xdr:absoluteAnchor>
  <xdr:absoluteAnchor>
    <xdr:pos x="1673678" y="979714"/>
    <xdr:ext cx="5489640" cy="3370680"/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059E026-EEE3-4169-BB92-8EF1BCFC1A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326822" y="666750"/>
    <xdr:ext cx="5489640" cy="366372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EBC3A6-615C-422E-909D-380448CD63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835727" y="588818"/>
    <xdr:ext cx="5762160" cy="32382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B44D7E-0427-4ECC-B5C7-0EC69FA9E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2000250" y="523875"/>
    <xdr:ext cx="5336280" cy="32382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646FCC0-4AB0-4F2D-8BA1-AE9CF5DA0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1782536" y="557892"/>
    <xdr:ext cx="5169240" cy="32382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A55E3E-54D4-4C8F-85A0-D69D2203D7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83b9f244c77dc93/Biblioteca/Prof.%20Substituto%20-%20DEC/Disciplinas/DEC7142%20C&#225;lculo%20Num&#233;rico%20em%20Computadores/Material%20anterior/Unidade_2/calc_parte_02/Ex_1_Newton.ods" TargetMode="External"/><Relationship Id="rId1" Type="http://schemas.openxmlformats.org/officeDocument/2006/relationships/externalLinkPath" Target="/083b9f244c77dc93/Biblioteca/Prof.%20Substituto%20-%20DEC/Disciplinas/DEC7142%20C&#225;lculo%20Num&#233;rico%20em%20Computadores/Material%20anterior/Unidade_2/calc_parte_02/Ex_1_Newton.od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83b9f244c77dc93/Biblioteca/Prof.%20Substituto%20-%20DEC/Disciplinas/DEC7142%20C&#225;lculo%20Num&#233;rico%20em%20Computadores/Material%20anterior/Unidade_2/calc_parte_02/Ex_2_Newton.ods" TargetMode="External"/><Relationship Id="rId1" Type="http://schemas.openxmlformats.org/officeDocument/2006/relationships/externalLinkPath" Target="/083b9f244c77dc93/Biblioteca/Prof.%20Substituto%20-%20DEC/Disciplinas/DEC7142%20C&#225;lculo%20Num&#233;rico%20em%20Computadores/Material%20anterior/Unidade_2/calc_parte_02/Ex_2_Newton.od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83b9f244c77dc93/Biblioteca/Prof.%20Substituto%20-%20DEC/Disciplinas/DEC7142%20C&#225;lculo%20Num&#233;rico%20em%20Computadores/Material%20anterior/Unidade_2/calc_parte_02/Ex_3_Newton.ods" TargetMode="External"/><Relationship Id="rId1" Type="http://schemas.openxmlformats.org/officeDocument/2006/relationships/externalLinkPath" Target="/083b9f244c77dc93/Biblioteca/Prof.%20Substituto%20-%20DEC/Disciplinas/DEC7142%20C&#225;lculo%20Num&#233;rico%20em%20Computadores/Material%20anterior/Unidade_2/calc_parte_02/Ex_3_Newton.od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83b9f244c77dc93/Biblioteca/Prof.%20Substituto%20-%20DEC/Disciplinas/DEC7142%20C&#225;lculo%20Num&#233;rico%20em%20Computadores/Material%20anterior/Unidade_2/calc_parte_02/Ex_4_Newton.ods" TargetMode="External"/><Relationship Id="rId1" Type="http://schemas.openxmlformats.org/officeDocument/2006/relationships/externalLinkPath" Target="/083b9f244c77dc93/Biblioteca/Prof.%20Substituto%20-%20DEC/Disciplinas/DEC7142%20C&#225;lculo%20Num&#233;rico%20em%20Computadores/Material%20anterior/Unidade_2/calc_parte_02/Ex_4_Newton.od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83b9f244c77dc93/Biblioteca/Prof.%20Substituto%20-%20DEC/Disciplinas/DEC7142%20C&#225;lculo%20Num&#233;rico%20em%20Computadores/Material%20anterior/Unidade_2/calc_parte_02/Ex_5_Newton_Bisection.ods" TargetMode="External"/><Relationship Id="rId1" Type="http://schemas.openxmlformats.org/officeDocument/2006/relationships/externalLinkPath" Target="/083b9f244c77dc93/Biblioteca/Prof.%20Substituto%20-%20DEC/Disciplinas/DEC7142%20C&#225;lculo%20Num&#233;rico%20em%20Computadores/Material%20anterior/Unidade_2/calc_parte_02/Ex_5_Newton_Bisection.od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"/>
    </sheetNames>
    <sheetDataSet>
      <sheetData sheetId="0">
        <row r="7">
          <cell r="B7">
            <v>-14.958924274663138</v>
          </cell>
        </row>
        <row r="8">
          <cell r="A8">
            <v>-4</v>
          </cell>
          <cell r="B8">
            <v>-12.756802495307928</v>
          </cell>
        </row>
        <row r="9">
          <cell r="A9">
            <v>-3</v>
          </cell>
          <cell r="B9">
            <v>-9.8588799919401318</v>
          </cell>
        </row>
        <row r="10">
          <cell r="A10">
            <v>-2</v>
          </cell>
          <cell r="B10">
            <v>-7.0907025731743181</v>
          </cell>
        </row>
        <row r="11">
          <cell r="A11">
            <v>-1</v>
          </cell>
          <cell r="B11">
            <v>-5.1585290151921033</v>
          </cell>
        </row>
        <row r="12">
          <cell r="A12">
            <v>0</v>
          </cell>
          <cell r="B12">
            <v>-4</v>
          </cell>
        </row>
        <row r="13">
          <cell r="A13">
            <v>1</v>
          </cell>
          <cell r="B13">
            <v>-2.8414709848078967</v>
          </cell>
        </row>
        <row r="14">
          <cell r="A14">
            <v>2</v>
          </cell>
          <cell r="B14">
            <v>-0.90929742682568193</v>
          </cell>
        </row>
        <row r="15">
          <cell r="A15">
            <v>3</v>
          </cell>
          <cell r="B15">
            <v>1.8588799919401326</v>
          </cell>
        </row>
        <row r="16">
          <cell r="A16">
            <v>4</v>
          </cell>
          <cell r="B16">
            <v>4.7568024953079284</v>
          </cell>
        </row>
        <row r="17">
          <cell r="A17">
            <v>5</v>
          </cell>
          <cell r="B17">
            <v>6.9589242746631381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"/>
    </sheetNames>
    <sheetDataSet>
      <sheetData sheetId="0">
        <row r="7">
          <cell r="B7">
            <v>-130</v>
          </cell>
        </row>
        <row r="8">
          <cell r="A8">
            <v>-4</v>
          </cell>
          <cell r="B8">
            <v>-69</v>
          </cell>
        </row>
        <row r="9">
          <cell r="A9">
            <v>-3</v>
          </cell>
          <cell r="B9">
            <v>-32</v>
          </cell>
        </row>
        <row r="10">
          <cell r="A10">
            <v>-2</v>
          </cell>
          <cell r="B10">
            <v>-13</v>
          </cell>
        </row>
        <row r="11">
          <cell r="A11">
            <v>-1</v>
          </cell>
          <cell r="B11">
            <v>-6</v>
          </cell>
        </row>
        <row r="12">
          <cell r="A12">
            <v>0</v>
          </cell>
          <cell r="B12">
            <v>-5</v>
          </cell>
        </row>
        <row r="13">
          <cell r="A13">
            <v>1</v>
          </cell>
          <cell r="B13">
            <v>-4</v>
          </cell>
        </row>
        <row r="14">
          <cell r="A14">
            <v>2</v>
          </cell>
          <cell r="B14">
            <v>3</v>
          </cell>
        </row>
        <row r="15">
          <cell r="A15">
            <v>3</v>
          </cell>
          <cell r="B15">
            <v>22</v>
          </cell>
        </row>
        <row r="16">
          <cell r="A16">
            <v>4</v>
          </cell>
          <cell r="B16">
            <v>59</v>
          </cell>
        </row>
        <row r="17">
          <cell r="A17">
            <v>5</v>
          </cell>
          <cell r="B17">
            <v>120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"/>
    </sheetNames>
    <sheetDataSet>
      <sheetData sheetId="0">
        <row r="7">
          <cell r="B7">
            <v>-252</v>
          </cell>
        </row>
        <row r="8">
          <cell r="A8">
            <v>-4</v>
          </cell>
          <cell r="B8">
            <v>-145</v>
          </cell>
        </row>
        <row r="9">
          <cell r="A9">
            <v>-3</v>
          </cell>
          <cell r="B9">
            <v>-72</v>
          </cell>
        </row>
        <row r="10">
          <cell r="A10">
            <v>-2</v>
          </cell>
          <cell r="B10">
            <v>-27</v>
          </cell>
        </row>
        <row r="11">
          <cell r="A11">
            <v>-1</v>
          </cell>
          <cell r="B11">
            <v>-4</v>
          </cell>
        </row>
        <row r="12">
          <cell r="A12">
            <v>0</v>
          </cell>
          <cell r="B12">
            <v>3</v>
          </cell>
        </row>
        <row r="13">
          <cell r="A13">
            <v>1</v>
          </cell>
          <cell r="B13">
            <v>0</v>
          </cell>
        </row>
        <row r="14">
          <cell r="A14">
            <v>2</v>
          </cell>
          <cell r="B14">
            <v>-7</v>
          </cell>
        </row>
        <row r="15">
          <cell r="A15">
            <v>3</v>
          </cell>
          <cell r="B15">
            <v>-12</v>
          </cell>
        </row>
        <row r="16">
          <cell r="A16">
            <v>4</v>
          </cell>
          <cell r="B16">
            <v>-9</v>
          </cell>
        </row>
        <row r="17">
          <cell r="A17">
            <v>5</v>
          </cell>
          <cell r="B17">
            <v>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"/>
    </sheetNames>
    <sheetDataSet>
      <sheetData sheetId="0">
        <row r="7">
          <cell r="A7">
            <v>-1</v>
          </cell>
          <cell r="B7">
            <v>19</v>
          </cell>
        </row>
        <row r="8">
          <cell r="A8">
            <v>0</v>
          </cell>
          <cell r="B8">
            <v>8.5</v>
          </cell>
        </row>
        <row r="9">
          <cell r="A9">
            <v>1</v>
          </cell>
          <cell r="B9">
            <v>0</v>
          </cell>
        </row>
        <row r="10">
          <cell r="A10">
            <v>2</v>
          </cell>
          <cell r="B10">
            <v>-6.5</v>
          </cell>
        </row>
        <row r="11">
          <cell r="A11">
            <v>3</v>
          </cell>
          <cell r="B11">
            <v>-11</v>
          </cell>
        </row>
        <row r="12">
          <cell r="A12">
            <v>4</v>
          </cell>
          <cell r="B12">
            <v>-13.5</v>
          </cell>
        </row>
        <row r="13">
          <cell r="A13">
            <v>5</v>
          </cell>
          <cell r="B13">
            <v>-14</v>
          </cell>
        </row>
        <row r="14">
          <cell r="A14">
            <v>6</v>
          </cell>
          <cell r="B14">
            <v>-12.5</v>
          </cell>
        </row>
        <row r="15">
          <cell r="A15">
            <v>7</v>
          </cell>
          <cell r="B15">
            <v>-9</v>
          </cell>
        </row>
        <row r="16">
          <cell r="A16">
            <v>8</v>
          </cell>
          <cell r="B16">
            <v>-3.5</v>
          </cell>
        </row>
        <row r="17">
          <cell r="A17">
            <v>9</v>
          </cell>
          <cell r="B17">
            <v>4</v>
          </cell>
        </row>
        <row r="18">
          <cell r="A18">
            <v>10</v>
          </cell>
          <cell r="B18">
            <v>13.5</v>
          </cell>
        </row>
        <row r="19">
          <cell r="A19">
            <v>11</v>
          </cell>
          <cell r="B19">
            <v>25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_Newton"/>
      <sheetName val="Ex_bisection"/>
    </sheetNames>
    <sheetDataSet>
      <sheetData sheetId="0">
        <row r="7">
          <cell r="A7">
            <v>-1</v>
          </cell>
          <cell r="B7">
            <v>8.7133805683644656</v>
          </cell>
        </row>
        <row r="8">
          <cell r="A8">
            <v>0</v>
          </cell>
          <cell r="B8">
            <v>8</v>
          </cell>
        </row>
        <row r="9">
          <cell r="A9">
            <v>1</v>
          </cell>
          <cell r="B9">
            <v>7.2866194316355344</v>
          </cell>
        </row>
        <row r="10">
          <cell r="A10">
            <v>2</v>
          </cell>
          <cell r="B10">
            <v>3.0918384207155674</v>
          </cell>
        </row>
        <row r="11">
          <cell r="A11">
            <v>3</v>
          </cell>
          <cell r="B11">
            <v>-4.8649599637305965</v>
          </cell>
        </row>
        <row r="12">
          <cell r="A12">
            <v>4</v>
          </cell>
          <cell r="B12">
            <v>-13.405611228885679</v>
          </cell>
        </row>
        <row r="13">
          <cell r="A13">
            <v>5</v>
          </cell>
          <cell r="B13">
            <v>-18.815159235984122</v>
          </cell>
        </row>
        <row r="14">
          <cell r="A14">
            <v>6</v>
          </cell>
          <cell r="B14">
            <v>-20.257369741895168</v>
          </cell>
        </row>
      </sheetData>
      <sheetData sheetId="1">
        <row r="6">
          <cell r="A6" t="str">
            <v>x</v>
          </cell>
          <cell r="B6" t="str">
            <v>f(x)</v>
          </cell>
        </row>
        <row r="7">
          <cell r="A7">
            <v>-1</v>
          </cell>
          <cell r="B7">
            <v>8.7133805683644656</v>
          </cell>
        </row>
        <row r="8">
          <cell r="A8">
            <v>0</v>
          </cell>
          <cell r="B8">
            <v>8</v>
          </cell>
        </row>
        <row r="9">
          <cell r="A9">
            <v>1</v>
          </cell>
          <cell r="B9">
            <v>7.2866194316355344</v>
          </cell>
        </row>
        <row r="10">
          <cell r="A10">
            <v>2</v>
          </cell>
          <cell r="B10">
            <v>3.0918384207155674</v>
          </cell>
        </row>
        <row r="11">
          <cell r="A11">
            <v>3</v>
          </cell>
          <cell r="B11">
            <v>-4.8649599637305965</v>
          </cell>
        </row>
        <row r="12">
          <cell r="A12">
            <v>4</v>
          </cell>
          <cell r="B12">
            <v>-13.405611228885679</v>
          </cell>
        </row>
        <row r="13">
          <cell r="A13">
            <v>5</v>
          </cell>
          <cell r="B13">
            <v>-18.815159235984122</v>
          </cell>
        </row>
        <row r="14">
          <cell r="A14">
            <v>6</v>
          </cell>
          <cell r="B14">
            <v>-20.257369741895168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zoomScale="70" zoomScaleNormal="70" workbookViewId="0">
      <selection activeCell="J32" sqref="J32"/>
    </sheetView>
  </sheetViews>
  <sheetFormatPr defaultRowHeight="15"/>
  <sheetData>
    <row r="1" spans="1:9" ht="15.7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.75">
      <c r="A2" s="2"/>
      <c r="B2" s="2"/>
      <c r="C2" s="2"/>
      <c r="D2" s="2"/>
      <c r="E2" s="2"/>
      <c r="F2" s="2"/>
      <c r="G2" s="2"/>
      <c r="H2" s="2"/>
      <c r="I2" s="2"/>
    </row>
    <row r="3" spans="1:9" ht="15.75">
      <c r="A3" s="3" t="s">
        <v>1</v>
      </c>
      <c r="B3" s="2"/>
      <c r="C3" s="2"/>
      <c r="D3" s="2"/>
      <c r="E3" s="2"/>
      <c r="F3" s="2"/>
      <c r="G3" s="2"/>
      <c r="H3" s="2"/>
      <c r="I3" s="2"/>
    </row>
    <row r="4" spans="1:9" ht="15.75">
      <c r="A4" s="4" t="s">
        <v>2</v>
      </c>
      <c r="B4" s="4" t="s">
        <v>3</v>
      </c>
      <c r="C4" s="5"/>
      <c r="D4" s="2"/>
      <c r="E4" s="2"/>
      <c r="F4" s="2"/>
      <c r="G4" s="2"/>
      <c r="H4" s="2"/>
      <c r="I4" s="2"/>
    </row>
    <row r="5" spans="1:9" ht="15.75">
      <c r="A5" s="2"/>
      <c r="B5" s="6"/>
      <c r="C5" s="2"/>
      <c r="D5" s="2"/>
      <c r="E5" s="2"/>
      <c r="F5" s="2"/>
      <c r="G5" s="2"/>
      <c r="H5" s="2"/>
      <c r="I5" s="2"/>
    </row>
    <row r="6" spans="1:9" ht="15.75">
      <c r="A6" s="7" t="s">
        <v>4</v>
      </c>
      <c r="B6" s="7" t="s">
        <v>2</v>
      </c>
      <c r="C6" s="2"/>
      <c r="D6" s="2"/>
      <c r="E6" s="2"/>
      <c r="F6" s="2"/>
      <c r="G6" s="2"/>
      <c r="H6" s="2"/>
      <c r="I6" s="2"/>
    </row>
    <row r="7" spans="1:9" ht="15.75">
      <c r="A7" s="8">
        <v>-5</v>
      </c>
      <c r="B7" s="9">
        <f t="shared" ref="B7:B17" si="0">2*A7-SIN(A7)-4</f>
        <v>-14.958924274663138</v>
      </c>
      <c r="C7" s="2"/>
      <c r="D7" s="2"/>
      <c r="E7" s="2"/>
      <c r="F7" s="2"/>
      <c r="G7" s="2"/>
      <c r="H7" s="2"/>
      <c r="I7" s="2"/>
    </row>
    <row r="8" spans="1:9" ht="15.75">
      <c r="A8" s="8">
        <v>-4</v>
      </c>
      <c r="B8" s="9">
        <f t="shared" si="0"/>
        <v>-12.756802495307928</v>
      </c>
      <c r="C8" s="2"/>
      <c r="D8" s="2"/>
      <c r="E8" s="2"/>
      <c r="F8" s="2"/>
      <c r="G8" s="2"/>
      <c r="H8" s="2"/>
      <c r="I8" s="2"/>
    </row>
    <row r="9" spans="1:9" ht="15.75">
      <c r="A9" s="8">
        <v>-3</v>
      </c>
      <c r="B9" s="9">
        <f t="shared" si="0"/>
        <v>-9.8588799919401318</v>
      </c>
      <c r="C9" s="2"/>
      <c r="D9" s="2"/>
      <c r="E9" s="2"/>
      <c r="F9" s="2"/>
      <c r="G9" s="2"/>
      <c r="H9" s="2"/>
      <c r="I9" s="2"/>
    </row>
    <row r="10" spans="1:9" ht="15.75">
      <c r="A10" s="8">
        <v>-2</v>
      </c>
      <c r="B10" s="9">
        <f t="shared" si="0"/>
        <v>-7.0907025731743181</v>
      </c>
      <c r="C10" s="2"/>
      <c r="D10" s="2"/>
      <c r="E10" s="2"/>
      <c r="F10" s="2"/>
      <c r="G10" s="2"/>
      <c r="H10" s="2"/>
      <c r="I10" s="2"/>
    </row>
    <row r="11" spans="1:9" ht="15.75">
      <c r="A11" s="8">
        <v>-1</v>
      </c>
      <c r="B11" s="9">
        <f t="shared" si="0"/>
        <v>-5.1585290151921033</v>
      </c>
      <c r="C11" s="2"/>
      <c r="D11" s="2"/>
      <c r="E11" s="2"/>
      <c r="F11" s="2"/>
      <c r="G11" s="2"/>
      <c r="H11" s="2"/>
      <c r="I11" s="2"/>
    </row>
    <row r="12" spans="1:9" ht="15.75">
      <c r="A12" s="8">
        <v>0</v>
      </c>
      <c r="B12" s="9">
        <f t="shared" si="0"/>
        <v>-4</v>
      </c>
      <c r="C12" s="2"/>
      <c r="D12" s="2"/>
      <c r="E12" s="2"/>
      <c r="F12" s="2"/>
      <c r="G12" s="2"/>
      <c r="H12" s="2"/>
      <c r="I12" s="2"/>
    </row>
    <row r="13" spans="1:9" ht="15.75">
      <c r="A13" s="8">
        <v>1</v>
      </c>
      <c r="B13" s="9">
        <f t="shared" si="0"/>
        <v>-2.8414709848078967</v>
      </c>
      <c r="C13" s="2"/>
      <c r="D13" s="2"/>
      <c r="E13" s="2"/>
      <c r="F13" s="2"/>
      <c r="G13" s="2"/>
      <c r="H13" s="2"/>
      <c r="I13" s="2"/>
    </row>
    <row r="14" spans="1:9" ht="15.75">
      <c r="A14" s="10">
        <v>2</v>
      </c>
      <c r="B14" s="11">
        <f t="shared" si="0"/>
        <v>-0.90929742682568193</v>
      </c>
      <c r="C14" s="2"/>
      <c r="D14" s="2"/>
      <c r="E14" s="2"/>
      <c r="F14" s="2"/>
      <c r="G14" s="2"/>
      <c r="H14" s="2"/>
      <c r="I14" s="2"/>
    </row>
    <row r="15" spans="1:9" ht="15.75">
      <c r="A15" s="10">
        <v>3</v>
      </c>
      <c r="B15" s="11">
        <f t="shared" si="0"/>
        <v>1.8588799919401326</v>
      </c>
      <c r="C15" s="2"/>
      <c r="D15" s="2"/>
      <c r="E15" s="2"/>
      <c r="F15" s="2"/>
      <c r="G15" s="2"/>
      <c r="H15" s="2"/>
      <c r="I15" s="2"/>
    </row>
    <row r="16" spans="1:9" ht="15.75">
      <c r="A16" s="8">
        <v>4</v>
      </c>
      <c r="B16" s="9">
        <f t="shared" si="0"/>
        <v>4.7568024953079284</v>
      </c>
      <c r="C16" s="2"/>
      <c r="D16" s="2"/>
      <c r="E16" s="2"/>
      <c r="F16" s="2"/>
      <c r="G16" s="2"/>
      <c r="H16" s="2"/>
      <c r="I16" s="2"/>
    </row>
    <row r="17" spans="1:9" ht="15.75">
      <c r="A17" s="8">
        <v>5</v>
      </c>
      <c r="B17" s="9">
        <f t="shared" si="0"/>
        <v>6.9589242746631381</v>
      </c>
      <c r="C17" s="2"/>
      <c r="D17" s="2"/>
      <c r="E17" s="2"/>
      <c r="F17" s="2"/>
      <c r="G17" s="2"/>
      <c r="H17" s="2"/>
      <c r="I17" s="2"/>
    </row>
    <row r="18" spans="1:9" ht="15.75">
      <c r="A18" s="2"/>
      <c r="B18" s="2"/>
      <c r="C18" s="2"/>
      <c r="D18" s="2"/>
      <c r="E18" s="2"/>
      <c r="F18" s="2"/>
      <c r="G18" s="2"/>
      <c r="H18" s="2"/>
      <c r="I18" s="2"/>
    </row>
    <row r="19" spans="1:9" ht="15.75">
      <c r="A19" s="2"/>
      <c r="B19" s="2"/>
      <c r="C19" s="2"/>
      <c r="D19" s="2"/>
      <c r="E19" s="2"/>
      <c r="F19" s="2"/>
      <c r="G19" s="2"/>
      <c r="H19" s="2"/>
      <c r="I19" s="2"/>
    </row>
    <row r="20" spans="1:9" ht="15.75">
      <c r="A20" s="12" t="s">
        <v>5</v>
      </c>
      <c r="B20" s="12">
        <v>1E-3</v>
      </c>
      <c r="C20" s="2"/>
      <c r="D20" s="2"/>
      <c r="E20" s="2"/>
      <c r="F20" s="2"/>
      <c r="G20" s="2"/>
      <c r="H20" s="2"/>
      <c r="I20" s="2"/>
    </row>
    <row r="21" spans="1:9" ht="15.75">
      <c r="A21" s="13" t="s">
        <v>6</v>
      </c>
      <c r="B21" s="14" t="s">
        <v>7</v>
      </c>
      <c r="C21" s="2"/>
      <c r="D21" s="2"/>
      <c r="E21" s="2"/>
      <c r="F21" s="2"/>
      <c r="G21" s="2"/>
      <c r="H21" s="2"/>
      <c r="I21" s="2"/>
    </row>
    <row r="22" spans="1:9" ht="15.75">
      <c r="A22" s="13" t="s">
        <v>8</v>
      </c>
      <c r="B22" s="14" t="s">
        <v>9</v>
      </c>
      <c r="C22" s="2"/>
      <c r="D22" s="2"/>
      <c r="E22" s="2"/>
      <c r="F22" s="2"/>
      <c r="G22" s="2"/>
      <c r="H22" s="2"/>
      <c r="I22" s="2"/>
    </row>
    <row r="23" spans="1:9" ht="15.75">
      <c r="A23" s="2"/>
      <c r="B23" s="2"/>
      <c r="C23" s="2"/>
      <c r="D23" s="2"/>
      <c r="E23" s="2"/>
      <c r="F23" s="2"/>
      <c r="G23" s="2"/>
      <c r="H23" s="2"/>
      <c r="I23" s="2"/>
    </row>
    <row r="24" spans="1:9" ht="15.75">
      <c r="A24" s="3" t="s">
        <v>10</v>
      </c>
      <c r="B24" s="2"/>
      <c r="C24" s="2"/>
      <c r="D24" s="2"/>
      <c r="E24" s="2"/>
      <c r="F24" s="2"/>
      <c r="G24" s="2"/>
      <c r="H24" s="2"/>
      <c r="I24" s="2"/>
    </row>
    <row r="25" spans="1:9" ht="15.75">
      <c r="A25" s="3"/>
      <c r="B25" s="2"/>
      <c r="C25" s="2"/>
      <c r="D25" s="2"/>
      <c r="E25" s="2"/>
      <c r="F25" s="2"/>
      <c r="G25" s="2"/>
      <c r="H25" s="2"/>
      <c r="I25" s="2"/>
    </row>
    <row r="26" spans="1:9" ht="15.75">
      <c r="A26" s="7" t="s">
        <v>4</v>
      </c>
      <c r="B26" s="7" t="s">
        <v>2</v>
      </c>
      <c r="C26" s="7" t="s">
        <v>11</v>
      </c>
      <c r="D26" s="7" t="s">
        <v>12</v>
      </c>
      <c r="E26" s="2"/>
      <c r="F26" s="2"/>
      <c r="G26" s="2"/>
      <c r="H26" s="2"/>
      <c r="I26" s="2"/>
    </row>
    <row r="27" spans="1:9" ht="15.75">
      <c r="A27" s="8">
        <v>2</v>
      </c>
      <c r="B27" s="9">
        <f>2*A27-SIN(A27)-4</f>
        <v>-0.90929742682568193</v>
      </c>
      <c r="C27" s="15">
        <f>SIN(A27)</f>
        <v>0.90929742682568171</v>
      </c>
      <c r="D27" s="8">
        <f>B27*C27</f>
        <v>-0.82682181043180614</v>
      </c>
      <c r="E27" s="1" t="str">
        <f>IF(D27&gt;0, "&lt;--- Aqui", "")</f>
        <v/>
      </c>
      <c r="F27" s="2"/>
      <c r="G27" s="2"/>
      <c r="H27" s="2"/>
      <c r="I27" s="2"/>
    </row>
    <row r="28" spans="1:9" ht="15.75">
      <c r="A28" s="16">
        <v>3</v>
      </c>
      <c r="B28" s="9">
        <f>2*A28-SIN(A28)-4</f>
        <v>1.8588799919401326</v>
      </c>
      <c r="C28" s="15">
        <f>SIN(A28)</f>
        <v>0.14112000805986721</v>
      </c>
      <c r="D28" s="8">
        <f>B28*C28</f>
        <v>0.26232515944491741</v>
      </c>
      <c r="E28" s="1" t="str">
        <f>IF(D28&gt;0, "&lt;--- Aqui", "")</f>
        <v>&lt;--- Aqui</v>
      </c>
      <c r="F28" s="2"/>
      <c r="G28" s="2"/>
      <c r="H28" s="2"/>
      <c r="I28" s="2"/>
    </row>
    <row r="29" spans="1:9" ht="15.75">
      <c r="A29" s="2"/>
      <c r="B29" s="2"/>
      <c r="C29" s="2"/>
      <c r="D29" s="2"/>
      <c r="E29" s="2"/>
      <c r="F29" s="2"/>
      <c r="G29" s="2"/>
      <c r="H29" s="2"/>
      <c r="I29" s="2"/>
    </row>
    <row r="30" spans="1:9" ht="15.75">
      <c r="A30" s="2"/>
      <c r="B30" s="2"/>
      <c r="C30" s="2"/>
      <c r="D30" s="2"/>
      <c r="E30" s="2"/>
      <c r="F30" s="2"/>
      <c r="G30" s="2"/>
      <c r="H30" s="2"/>
      <c r="I30" s="2"/>
    </row>
    <row r="31" spans="1:9" ht="15.75">
      <c r="A31" s="2"/>
      <c r="B31" s="2"/>
      <c r="C31" s="2"/>
      <c r="D31" s="2"/>
      <c r="E31" s="2"/>
      <c r="F31" s="2"/>
      <c r="G31" s="1" t="s">
        <v>13</v>
      </c>
      <c r="H31" s="2"/>
      <c r="I31" s="2"/>
    </row>
    <row r="32" spans="1:9" ht="15.75">
      <c r="A32" s="7" t="s">
        <v>14</v>
      </c>
      <c r="B32" s="7" t="s">
        <v>15</v>
      </c>
      <c r="C32" s="7" t="s">
        <v>2</v>
      </c>
      <c r="D32" s="7" t="s">
        <v>16</v>
      </c>
      <c r="E32" s="7" t="s">
        <v>17</v>
      </c>
      <c r="F32" s="7" t="s">
        <v>18</v>
      </c>
      <c r="G32" s="7" t="s">
        <v>19</v>
      </c>
      <c r="H32" s="2"/>
      <c r="I32" s="2"/>
    </row>
    <row r="33" spans="1:9" ht="15.75">
      <c r="A33" s="8">
        <v>1</v>
      </c>
      <c r="B33" s="16">
        <v>3</v>
      </c>
      <c r="C33" s="17">
        <f>2*B33-SIN(B33)-4</f>
        <v>1.8588799919401326</v>
      </c>
      <c r="D33" s="8">
        <f>2-COS(B33)</f>
        <v>2.9899924966004452</v>
      </c>
      <c r="E33" s="18">
        <f>B33-(C33/D33)</f>
        <v>2.3782994458836813</v>
      </c>
      <c r="F33" s="8">
        <f>$B$20</f>
        <v>1E-3</v>
      </c>
      <c r="G33" s="19">
        <f>ABS(E33-B33)</f>
        <v>0.62170055411631875</v>
      </c>
      <c r="H33" s="2" t="str">
        <f>IF(G33&lt;F33, " FIM!", "")</f>
        <v/>
      </c>
      <c r="I33" s="2"/>
    </row>
    <row r="34" spans="1:9" ht="15.75">
      <c r="A34" s="8">
        <v>2</v>
      </c>
      <c r="B34" s="17">
        <f>E33</f>
        <v>2.3782994458836813</v>
      </c>
      <c r="C34" s="17">
        <f>2*B34-SIN(B34)-4</f>
        <v>6.5294151183128868E-2</v>
      </c>
      <c r="D34" s="8">
        <f>2-COS(B34)</f>
        <v>2.7225633229314683</v>
      </c>
      <c r="E34" s="18">
        <f>B34-(C34/D34)</f>
        <v>2.3543168444017715</v>
      </c>
      <c r="F34" s="8">
        <f>$B$20</f>
        <v>1E-3</v>
      </c>
      <c r="G34" s="19">
        <f>ABS(E34-B34)</f>
        <v>2.3982601481909782E-2</v>
      </c>
      <c r="H34" s="2" t="str">
        <f>IF(G34&lt;F34, " FIM!", "")</f>
        <v/>
      </c>
      <c r="I34" s="2"/>
    </row>
    <row r="35" spans="1:9" ht="15.75">
      <c r="A35" s="8">
        <v>3</v>
      </c>
      <c r="B35" s="17">
        <f>E34</f>
        <v>2.3543168444017715</v>
      </c>
      <c r="C35" s="17">
        <f>2*B35-SIN(B35)-4</f>
        <v>2.0045879706209746E-4</v>
      </c>
      <c r="D35" s="8">
        <f>2-COS(B35)</f>
        <v>2.7057778394244072</v>
      </c>
      <c r="E35" s="18">
        <f>B35-(C35/D35)</f>
        <v>2.3542427589413388</v>
      </c>
      <c r="F35" s="8">
        <f>$B$20</f>
        <v>1E-3</v>
      </c>
      <c r="G35" s="19">
        <f>ABS(E35-B35)</f>
        <v>7.4085460432637973E-5</v>
      </c>
      <c r="H35" s="2" t="str">
        <f>IF(G35&lt;F35, " FIM!", "")</f>
        <v xml:space="preserve"> FIM!</v>
      </c>
      <c r="I35" s="2"/>
    </row>
    <row r="36" spans="1:9" ht="15.75">
      <c r="A36" s="2"/>
      <c r="B36" s="2"/>
      <c r="C36" s="2"/>
      <c r="D36" s="2"/>
      <c r="E36" s="2"/>
      <c r="F36" s="2"/>
      <c r="G36" s="2"/>
      <c r="H36" s="2"/>
      <c r="I36" s="2"/>
    </row>
    <row r="37" spans="1:9" ht="15.75">
      <c r="A37" s="2"/>
      <c r="B37" s="1" t="s">
        <v>20</v>
      </c>
      <c r="C37" s="20">
        <v>2.3542000000000001</v>
      </c>
      <c r="D37" s="2"/>
      <c r="E37" s="2"/>
      <c r="F37" s="2"/>
      <c r="G37" s="2"/>
      <c r="H37" s="2"/>
      <c r="I37" s="2"/>
    </row>
  </sheetData>
  <conditionalFormatting sqref="D27:D28">
    <cfRule type="cellIs" dxfId="6" priority="1" stopIfTrue="1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4D4CC-F621-4E5A-A8BC-76668E6FA1F1}">
  <dimension ref="A2:XFD39"/>
  <sheetViews>
    <sheetView zoomScale="70" zoomScaleNormal="70" workbookViewId="0">
      <selection activeCell="J29" sqref="J29"/>
    </sheetView>
  </sheetViews>
  <sheetFormatPr defaultRowHeight="15.75"/>
  <cols>
    <col min="1" max="1" width="8.42578125" style="2" customWidth="1"/>
    <col min="2" max="2" width="12.140625" style="2" customWidth="1"/>
    <col min="3" max="3" width="11.28515625" style="2" customWidth="1"/>
    <col min="4" max="4" width="10.140625" style="2" customWidth="1"/>
    <col min="5" max="5" width="10.85546875" style="2" customWidth="1"/>
    <col min="6" max="6" width="10" style="2" customWidth="1"/>
    <col min="7" max="7" width="14.42578125" style="2" customWidth="1"/>
    <col min="8" max="9" width="12.28515625" style="2" customWidth="1"/>
    <col min="10" max="10" width="7.85546875" style="2" customWidth="1"/>
    <col min="11" max="11" width="12" style="2" customWidth="1"/>
    <col min="12" max="12" width="7.140625" style="2" customWidth="1"/>
    <col min="13" max="1024" width="12.140625" style="2" customWidth="1"/>
  </cols>
  <sheetData>
    <row r="2" spans="1:3" customFormat="1">
      <c r="A2" s="1" t="s">
        <v>21</v>
      </c>
      <c r="B2" s="2"/>
      <c r="C2" s="2"/>
    </row>
    <row r="3" spans="1:3" customFormat="1">
      <c r="A3" s="1"/>
      <c r="B3" s="2"/>
      <c r="C3" s="2"/>
    </row>
    <row r="4" spans="1:3" customFormat="1" ht="18.75">
      <c r="A4" s="4" t="s">
        <v>2</v>
      </c>
      <c r="B4" s="21" t="s">
        <v>22</v>
      </c>
      <c r="C4" s="5"/>
    </row>
    <row r="5" spans="1:3" customFormat="1">
      <c r="A5" s="2"/>
      <c r="B5" s="6"/>
      <c r="C5" s="2"/>
    </row>
    <row r="6" spans="1:3" customFormat="1">
      <c r="A6" s="7" t="s">
        <v>4</v>
      </c>
      <c r="B6" s="7" t="s">
        <v>2</v>
      </c>
      <c r="C6" s="2"/>
    </row>
    <row r="7" spans="1:3" customFormat="1">
      <c r="A7" s="8">
        <v>-5</v>
      </c>
      <c r="B7" s="9">
        <f t="shared" ref="B7:B17" si="0">POWER(A7,3)-5</f>
        <v>-130</v>
      </c>
      <c r="C7" s="2"/>
    </row>
    <row r="8" spans="1:3" customFormat="1">
      <c r="A8" s="8">
        <v>-4</v>
      </c>
      <c r="B8" s="9">
        <f t="shared" si="0"/>
        <v>-69</v>
      </c>
      <c r="C8" s="2"/>
    </row>
    <row r="9" spans="1:3" customFormat="1">
      <c r="A9" s="8">
        <v>-3</v>
      </c>
      <c r="B9" s="9">
        <f t="shared" si="0"/>
        <v>-32</v>
      </c>
      <c r="C9" s="2"/>
    </row>
    <row r="10" spans="1:3" customFormat="1">
      <c r="A10" s="8">
        <v>-2</v>
      </c>
      <c r="B10" s="9">
        <f t="shared" si="0"/>
        <v>-13</v>
      </c>
      <c r="C10" s="2"/>
    </row>
    <row r="11" spans="1:3" customFormat="1">
      <c r="A11" s="8">
        <v>-1</v>
      </c>
      <c r="B11" s="9">
        <f t="shared" si="0"/>
        <v>-6</v>
      </c>
      <c r="C11" s="2"/>
    </row>
    <row r="12" spans="1:3" customFormat="1">
      <c r="A12" s="8">
        <v>0</v>
      </c>
      <c r="B12" s="9">
        <f t="shared" si="0"/>
        <v>-5</v>
      </c>
      <c r="C12" s="2"/>
    </row>
    <row r="13" spans="1:3" customFormat="1">
      <c r="A13" s="10">
        <v>1</v>
      </c>
      <c r="B13" s="11">
        <f t="shared" si="0"/>
        <v>-4</v>
      </c>
      <c r="C13" s="2"/>
    </row>
    <row r="14" spans="1:3" customFormat="1">
      <c r="A14" s="10">
        <v>2</v>
      </c>
      <c r="B14" s="11">
        <f t="shared" si="0"/>
        <v>3</v>
      </c>
      <c r="C14" s="2"/>
    </row>
    <row r="15" spans="1:3" customFormat="1">
      <c r="A15" s="8">
        <v>3</v>
      </c>
      <c r="B15" s="9">
        <f t="shared" si="0"/>
        <v>22</v>
      </c>
      <c r="C15" s="2"/>
    </row>
    <row r="16" spans="1:3" customFormat="1">
      <c r="A16" s="8">
        <v>4</v>
      </c>
      <c r="B16" s="9">
        <f t="shared" si="0"/>
        <v>59</v>
      </c>
      <c r="C16" s="2"/>
    </row>
    <row r="17" spans="1:7" customFormat="1">
      <c r="A17" s="8">
        <v>5</v>
      </c>
      <c r="B17" s="9">
        <f t="shared" si="0"/>
        <v>120</v>
      </c>
      <c r="C17" s="2"/>
      <c r="D17" s="2"/>
      <c r="E17" s="2"/>
      <c r="F17" s="2"/>
      <c r="G17" s="2"/>
    </row>
    <row r="20" spans="1:7" customFormat="1">
      <c r="A20" s="22" t="s">
        <v>5</v>
      </c>
      <c r="B20" s="22">
        <v>1E-3</v>
      </c>
      <c r="C20" s="2"/>
      <c r="D20" s="2"/>
      <c r="E20" s="2"/>
      <c r="F20" s="2"/>
      <c r="G20" s="2"/>
    </row>
    <row r="21" spans="1:7" customFormat="1" ht="17.25">
      <c r="A21" s="23" t="s">
        <v>23</v>
      </c>
      <c r="B21" s="24" t="s">
        <v>24</v>
      </c>
      <c r="C21" s="2"/>
      <c r="D21" s="2"/>
      <c r="E21" s="2"/>
      <c r="F21" s="2"/>
      <c r="G21" s="2"/>
    </row>
    <row r="22" spans="1:7" customFormat="1">
      <c r="A22" s="23" t="s">
        <v>8</v>
      </c>
      <c r="B22" s="24" t="s">
        <v>25</v>
      </c>
      <c r="C22" s="2"/>
      <c r="D22" s="2"/>
      <c r="E22" s="2"/>
      <c r="F22" s="2"/>
      <c r="G22" s="2"/>
    </row>
    <row r="24" spans="1:7" customFormat="1">
      <c r="A24" s="3" t="s">
        <v>10</v>
      </c>
      <c r="B24" s="2"/>
      <c r="C24" s="2"/>
      <c r="D24" s="2"/>
      <c r="E24" s="2"/>
      <c r="F24" s="2"/>
      <c r="G24" s="2"/>
    </row>
    <row r="25" spans="1:7" customFormat="1">
      <c r="A25" s="3"/>
      <c r="B25" s="2"/>
      <c r="C25" s="2"/>
      <c r="D25" s="2"/>
      <c r="E25" s="2"/>
      <c r="F25" s="2"/>
      <c r="G25" s="2"/>
    </row>
    <row r="26" spans="1:7" customFormat="1">
      <c r="A26" s="7" t="s">
        <v>4</v>
      </c>
      <c r="B26" s="7" t="s">
        <v>2</v>
      </c>
      <c r="C26" s="7" t="s">
        <v>11</v>
      </c>
      <c r="D26" s="7" t="s">
        <v>12</v>
      </c>
      <c r="E26" s="2"/>
      <c r="F26" s="2"/>
      <c r="G26" s="2"/>
    </row>
    <row r="27" spans="1:7" customFormat="1">
      <c r="A27" s="8">
        <v>1</v>
      </c>
      <c r="B27" s="9">
        <f>POWER(A27,3)-5</f>
        <v>-4</v>
      </c>
      <c r="C27" s="15">
        <f>6*A27</f>
        <v>6</v>
      </c>
      <c r="D27" s="8">
        <f>B27*C27</f>
        <v>-24</v>
      </c>
      <c r="E27" s="1" t="str">
        <f>IF(D27&gt;0, "&lt;--- Aqui", "")</f>
        <v/>
      </c>
      <c r="F27" s="2"/>
      <c r="G27" s="2"/>
    </row>
    <row r="28" spans="1:7" customFormat="1">
      <c r="A28" s="10">
        <v>2</v>
      </c>
      <c r="B28" s="9">
        <f>POWER(A28,3)-5</f>
        <v>3</v>
      </c>
      <c r="C28" s="15">
        <f>6*A28</f>
        <v>12</v>
      </c>
      <c r="D28" s="8">
        <f>B28*C28</f>
        <v>36</v>
      </c>
      <c r="E28" s="1" t="str">
        <f>IF(D28&gt;0, "&lt;--- Aqui", "")</f>
        <v>&lt;--- Aqui</v>
      </c>
      <c r="F28" s="2"/>
      <c r="G28" s="2"/>
    </row>
    <row r="31" spans="1:7" customFormat="1">
      <c r="A31" s="2"/>
      <c r="B31" s="2"/>
      <c r="C31" s="2"/>
      <c r="D31" s="2"/>
      <c r="E31" s="2"/>
      <c r="F31" s="2"/>
      <c r="G31" s="2" t="s">
        <v>13</v>
      </c>
    </row>
    <row r="32" spans="1:7" customFormat="1">
      <c r="A32" s="7" t="s">
        <v>14</v>
      </c>
      <c r="B32" s="7" t="s">
        <v>15</v>
      </c>
      <c r="C32" s="7" t="s">
        <v>2</v>
      </c>
      <c r="D32" s="7" t="s">
        <v>16</v>
      </c>
      <c r="E32" s="7" t="s">
        <v>17</v>
      </c>
      <c r="F32" s="7" t="s">
        <v>18</v>
      </c>
      <c r="G32" s="7" t="s">
        <v>19</v>
      </c>
    </row>
    <row r="33" spans="1:9" customFormat="1">
      <c r="A33" s="8">
        <v>1</v>
      </c>
      <c r="B33" s="15">
        <v>2</v>
      </c>
      <c r="C33" s="15">
        <f>POWER(B33,3)-5</f>
        <v>3</v>
      </c>
      <c r="D33" s="15">
        <f>3*POWER(B33,2)</f>
        <v>12</v>
      </c>
      <c r="E33" s="15">
        <f>B33-(C33/D33)</f>
        <v>1.75</v>
      </c>
      <c r="F33" s="15">
        <f>$B$20</f>
        <v>1E-3</v>
      </c>
      <c r="G33" s="25">
        <f>ABS(E33-B33)</f>
        <v>0.25</v>
      </c>
      <c r="H33" s="2" t="str">
        <f>IF(G33&lt;F33, " FIM!", "")</f>
        <v/>
      </c>
      <c r="I33" s="2"/>
    </row>
    <row r="34" spans="1:9" customFormat="1">
      <c r="A34" s="8">
        <v>2</v>
      </c>
      <c r="B34" s="15">
        <f>E33</f>
        <v>1.75</v>
      </c>
      <c r="C34" s="15">
        <f>POWER(B34,3)-5</f>
        <v>0.359375</v>
      </c>
      <c r="D34" s="15">
        <f>3*POWER(B34,2)</f>
        <v>9.1875</v>
      </c>
      <c r="E34" s="15">
        <f>B34-(C34/D34)</f>
        <v>1.7108843537414966</v>
      </c>
      <c r="F34" s="15">
        <f>$B$20</f>
        <v>1E-3</v>
      </c>
      <c r="G34" s="25">
        <f>ABS((E34-B34))</f>
        <v>3.9115646258503389E-2</v>
      </c>
      <c r="H34" s="2" t="str">
        <f>IF(G34&lt;F34, " FIM!", "")</f>
        <v/>
      </c>
      <c r="I34" s="2"/>
    </row>
    <row r="35" spans="1:9" customFormat="1">
      <c r="A35" s="8">
        <v>3</v>
      </c>
      <c r="B35" s="15">
        <f>E34</f>
        <v>1.7108843537414966</v>
      </c>
      <c r="C35" s="15">
        <f>POWER(B35,3)-5</f>
        <v>7.9728290964684589E-3</v>
      </c>
      <c r="D35" s="15">
        <f>3*POWER(B35,2)</f>
        <v>8.7813758156323765</v>
      </c>
      <c r="E35" s="26">
        <f>B35-(C35/D35)</f>
        <v>1.7099764289169748</v>
      </c>
      <c r="F35" s="15">
        <f>$B$20</f>
        <v>1E-3</v>
      </c>
      <c r="G35" s="25">
        <f>ABS((E35-B35))</f>
        <v>9.0792482452184409E-4</v>
      </c>
      <c r="H35" s="2" t="str">
        <f>IF(G35&lt;F35, " FIM!", "")</f>
        <v xml:space="preserve"> FIM!</v>
      </c>
      <c r="I35" s="2"/>
    </row>
    <row r="36" spans="1:9" customFormat="1">
      <c r="A36" s="2"/>
      <c r="B36" s="2"/>
      <c r="C36" s="2"/>
      <c r="D36" s="2"/>
      <c r="E36" s="2"/>
      <c r="F36" s="2"/>
      <c r="G36" s="2"/>
      <c r="H36" s="2"/>
      <c r="I36" s="2"/>
    </row>
    <row r="37" spans="1:9" customFormat="1">
      <c r="A37" s="2"/>
      <c r="B37" s="1" t="s">
        <v>20</v>
      </c>
      <c r="C37" s="27">
        <f>E35</f>
        <v>1.7099764289169748</v>
      </c>
      <c r="D37" s="2"/>
      <c r="E37" s="2"/>
      <c r="F37" s="2"/>
      <c r="G37" s="2"/>
      <c r="H37" s="2"/>
      <c r="I37" s="2"/>
    </row>
    <row r="38" spans="1:9" customFormat="1">
      <c r="A38" s="2"/>
      <c r="B38" s="2"/>
      <c r="C38" s="2"/>
      <c r="D38" s="2"/>
      <c r="E38" s="2"/>
      <c r="F38" s="2"/>
      <c r="G38" s="2"/>
      <c r="H38" s="2"/>
      <c r="I38" s="2"/>
    </row>
    <row r="39" spans="1:9" customFormat="1">
      <c r="A39" s="2"/>
      <c r="B39" s="2"/>
      <c r="C39" s="2"/>
      <c r="D39" s="2"/>
      <c r="E39" s="2"/>
      <c r="F39" s="2"/>
      <c r="G39" s="2"/>
      <c r="H39" s="2"/>
      <c r="I39" s="2"/>
    </row>
  </sheetData>
  <conditionalFormatting sqref="D27:D28">
    <cfRule type="cellIs" dxfId="5" priority="1" stopIfTrue="1" operator="greaterThan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2ECB2-7E71-44A3-9FF5-ECEB7466EB24}">
  <dimension ref="A2:XFD40"/>
  <sheetViews>
    <sheetView zoomScale="70" zoomScaleNormal="70" workbookViewId="0">
      <selection activeCell="N25" sqref="N25"/>
    </sheetView>
  </sheetViews>
  <sheetFormatPr defaultRowHeight="15.75"/>
  <cols>
    <col min="1" max="1" width="9" style="2" customWidth="1"/>
    <col min="2" max="2" width="12.140625" style="2" customWidth="1"/>
    <col min="3" max="3" width="13.140625" style="2" customWidth="1"/>
    <col min="4" max="4" width="10.140625" style="2" customWidth="1"/>
    <col min="5" max="5" width="13" style="2" customWidth="1"/>
    <col min="6" max="6" width="10" style="2" customWidth="1"/>
    <col min="7" max="7" width="14.5703125" style="2" customWidth="1"/>
    <col min="8" max="9" width="12.28515625" style="2" customWidth="1"/>
    <col min="10" max="10" width="7.85546875" style="2" customWidth="1"/>
    <col min="11" max="11" width="12" style="2" customWidth="1"/>
    <col min="12" max="12" width="7.140625" style="2" customWidth="1"/>
    <col min="13" max="1024" width="12.140625" style="2" customWidth="1"/>
  </cols>
  <sheetData>
    <row r="2" spans="1:3" customFormat="1">
      <c r="A2" s="1" t="s">
        <v>26</v>
      </c>
      <c r="B2" s="2"/>
      <c r="C2" s="2"/>
    </row>
    <row r="3" spans="1:3" customFormat="1">
      <c r="A3" s="1"/>
      <c r="B3" s="2"/>
      <c r="C3" s="2"/>
    </row>
    <row r="4" spans="1:3" customFormat="1" ht="17.25">
      <c r="A4" s="4" t="s">
        <v>2</v>
      </c>
      <c r="B4" s="4" t="s">
        <v>27</v>
      </c>
      <c r="C4" s="5"/>
    </row>
    <row r="5" spans="1:3" customFormat="1">
      <c r="A5" s="2"/>
      <c r="B5" s="6"/>
      <c r="C5" s="2"/>
    </row>
    <row r="6" spans="1:3" customFormat="1">
      <c r="A6" s="7" t="s">
        <v>4</v>
      </c>
      <c r="B6" s="7" t="s">
        <v>2</v>
      </c>
      <c r="C6" s="2"/>
    </row>
    <row r="7" spans="1:3" customFormat="1">
      <c r="A7" s="8">
        <v>-5</v>
      </c>
      <c r="B7" s="9">
        <f t="shared" ref="B7:B17" si="0">POWER(A7,3)-5*POWER(A7,2)+A7+3</f>
        <v>-252</v>
      </c>
      <c r="C7" s="2"/>
    </row>
    <row r="8" spans="1:3" customFormat="1">
      <c r="A8" s="8">
        <v>-4</v>
      </c>
      <c r="B8" s="9">
        <f t="shared" si="0"/>
        <v>-145</v>
      </c>
      <c r="C8" s="2"/>
    </row>
    <row r="9" spans="1:3" customFormat="1">
      <c r="A9" s="8">
        <v>-3</v>
      </c>
      <c r="B9" s="9">
        <f t="shared" si="0"/>
        <v>-72</v>
      </c>
      <c r="C9" s="2"/>
    </row>
    <row r="10" spans="1:3" customFormat="1">
      <c r="A10" s="8">
        <v>-2</v>
      </c>
      <c r="B10" s="9">
        <f t="shared" si="0"/>
        <v>-27</v>
      </c>
      <c r="C10" s="2"/>
    </row>
    <row r="11" spans="1:3" customFormat="1">
      <c r="A11" s="28">
        <v>-1</v>
      </c>
      <c r="B11" s="29">
        <f t="shared" si="0"/>
        <v>-4</v>
      </c>
      <c r="C11" s="2"/>
    </row>
    <row r="12" spans="1:3" customFormat="1">
      <c r="A12" s="28">
        <v>0</v>
      </c>
      <c r="B12" s="29">
        <f t="shared" si="0"/>
        <v>3</v>
      </c>
      <c r="C12" s="2"/>
    </row>
    <row r="13" spans="1:3" customFormat="1">
      <c r="A13" s="8">
        <v>1</v>
      </c>
      <c r="B13" s="9">
        <f t="shared" si="0"/>
        <v>0</v>
      </c>
      <c r="C13" s="2"/>
    </row>
    <row r="14" spans="1:3" customFormat="1">
      <c r="A14" s="8">
        <v>2</v>
      </c>
      <c r="B14" s="9">
        <f t="shared" si="0"/>
        <v>-7</v>
      </c>
      <c r="C14" s="2"/>
    </row>
    <row r="15" spans="1:3" customFormat="1">
      <c r="A15" s="8">
        <v>3</v>
      </c>
      <c r="B15" s="9">
        <f t="shared" si="0"/>
        <v>-12</v>
      </c>
      <c r="C15" s="2"/>
    </row>
    <row r="16" spans="1:3" customFormat="1">
      <c r="A16" s="8">
        <v>4</v>
      </c>
      <c r="B16" s="9">
        <f t="shared" si="0"/>
        <v>-9</v>
      </c>
      <c r="C16" s="2"/>
    </row>
    <row r="17" spans="1:12" customFormat="1">
      <c r="A17" s="8">
        <v>5</v>
      </c>
      <c r="B17" s="9">
        <f t="shared" si="0"/>
        <v>8</v>
      </c>
      <c r="C17" s="2"/>
      <c r="D17" s="2"/>
      <c r="E17" s="2"/>
      <c r="F17" s="2"/>
      <c r="G17" s="2"/>
      <c r="H17" s="2"/>
      <c r="I17" s="2"/>
      <c r="J17" s="2"/>
      <c r="K17" s="2"/>
      <c r="L17" s="2"/>
    </row>
    <row r="20" spans="1:12" customFormat="1">
      <c r="A20" s="22" t="s">
        <v>5</v>
      </c>
      <c r="B20" s="22">
        <v>1E-4</v>
      </c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customFormat="1" ht="18.75">
      <c r="A21" s="23" t="s">
        <v>6</v>
      </c>
      <c r="B21" s="30" t="s">
        <v>28</v>
      </c>
      <c r="C21" s="31"/>
      <c r="D21" s="2"/>
      <c r="E21" s="2"/>
      <c r="F21" s="2"/>
      <c r="G21" s="2"/>
      <c r="H21" s="2"/>
      <c r="I21" s="2"/>
      <c r="J21" s="2"/>
      <c r="K21" s="2"/>
      <c r="L21" s="2"/>
    </row>
    <row r="22" spans="1:12" customFormat="1">
      <c r="A22" s="23" t="s">
        <v>8</v>
      </c>
      <c r="B22" s="32" t="s">
        <v>29</v>
      </c>
      <c r="C22" s="31"/>
      <c r="D22" s="2"/>
      <c r="E22" s="2"/>
      <c r="F22" s="2"/>
      <c r="G22" s="2"/>
      <c r="H22" s="2"/>
      <c r="I22" s="2"/>
      <c r="J22" s="2"/>
      <c r="K22" s="2"/>
      <c r="L22" s="2"/>
    </row>
    <row r="24" spans="1:12" customFormat="1">
      <c r="A24" s="3" t="s">
        <v>10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customFormat="1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customFormat="1">
      <c r="A26" s="7" t="s">
        <v>4</v>
      </c>
      <c r="B26" s="7" t="s">
        <v>2</v>
      </c>
      <c r="C26" s="7" t="s">
        <v>11</v>
      </c>
      <c r="D26" s="7" t="s">
        <v>12</v>
      </c>
      <c r="E26" s="2"/>
      <c r="F26" s="2"/>
      <c r="G26" s="2"/>
      <c r="H26" s="2"/>
      <c r="I26" s="2"/>
      <c r="J26" s="2"/>
      <c r="K26" s="2"/>
      <c r="L26" s="2"/>
    </row>
    <row r="27" spans="1:12" customFormat="1">
      <c r="A27" s="28">
        <v>-1</v>
      </c>
      <c r="B27" s="29">
        <f>POWER(A27,3)-5*POWER(A27,2)+A27+3</f>
        <v>-4</v>
      </c>
      <c r="C27" s="15">
        <f>6*A27-10</f>
        <v>-16</v>
      </c>
      <c r="D27" s="8">
        <f>B27*C27</f>
        <v>64</v>
      </c>
      <c r="E27" s="1" t="str">
        <f>IF(D27&gt;0, "&lt;--- Aqui", "")</f>
        <v>&lt;--- Aqui</v>
      </c>
      <c r="F27" s="2"/>
      <c r="G27" s="2"/>
      <c r="H27" s="2"/>
      <c r="I27" s="2"/>
      <c r="J27" s="2"/>
      <c r="K27" s="2"/>
      <c r="L27" s="2"/>
    </row>
    <row r="28" spans="1:12" customFormat="1">
      <c r="A28" s="28">
        <v>0</v>
      </c>
      <c r="B28" s="29">
        <f>POWER(A28,3)-5*POWER(A28,2)+A28+3</f>
        <v>3</v>
      </c>
      <c r="C28" s="15">
        <f>6*A28-10</f>
        <v>-10</v>
      </c>
      <c r="D28" s="8">
        <f>B28*C28</f>
        <v>-30</v>
      </c>
      <c r="E28" s="1" t="str">
        <f>IF(D28&gt;0, "&lt;--- Aqui", "")</f>
        <v/>
      </c>
      <c r="F28" s="2"/>
      <c r="G28" s="2"/>
      <c r="H28" s="2"/>
      <c r="I28" s="2"/>
      <c r="J28" s="2"/>
      <c r="K28" s="2"/>
      <c r="L28" s="2" t="str">
        <f t="shared" ref="L28:L34" si="1">IF(K28&lt;J28, "Fim!!!", " ")</f>
        <v xml:space="preserve"> </v>
      </c>
    </row>
    <row r="29" spans="1:12" customForma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 t="str">
        <f t="shared" si="1"/>
        <v xml:space="preserve"> </v>
      </c>
    </row>
    <row r="30" spans="1:12" customForma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 t="str">
        <f t="shared" si="1"/>
        <v xml:space="preserve"> </v>
      </c>
    </row>
    <row r="31" spans="1:12" customFormat="1">
      <c r="A31" s="2"/>
      <c r="B31" s="2"/>
      <c r="C31" s="2"/>
      <c r="D31" s="2"/>
      <c r="E31" s="2"/>
      <c r="F31" s="2"/>
      <c r="G31" s="2" t="s">
        <v>13</v>
      </c>
      <c r="H31" s="2"/>
      <c r="I31" s="2"/>
      <c r="J31" s="2"/>
      <c r="K31" s="2"/>
      <c r="L31" s="2" t="str">
        <f t="shared" si="1"/>
        <v xml:space="preserve"> </v>
      </c>
    </row>
    <row r="32" spans="1:12" customFormat="1">
      <c r="A32" s="7" t="s">
        <v>14</v>
      </c>
      <c r="B32" s="7" t="s">
        <v>15</v>
      </c>
      <c r="C32" s="7" t="s">
        <v>2</v>
      </c>
      <c r="D32" s="7" t="s">
        <v>16</v>
      </c>
      <c r="E32" s="7" t="s">
        <v>17</v>
      </c>
      <c r="F32" s="7" t="s">
        <v>18</v>
      </c>
      <c r="G32" s="7" t="s">
        <v>19</v>
      </c>
      <c r="H32" s="2"/>
      <c r="I32" s="2"/>
      <c r="J32" s="2"/>
      <c r="K32" s="2"/>
      <c r="L32" s="2" t="str">
        <f t="shared" si="1"/>
        <v xml:space="preserve"> </v>
      </c>
    </row>
    <row r="33" spans="1:12" customFormat="1">
      <c r="A33" s="8">
        <v>1</v>
      </c>
      <c r="B33" s="8">
        <v>-1</v>
      </c>
      <c r="C33" s="9">
        <f>POWER(B33,3)-5*POWER(B33,2)+B33+3</f>
        <v>-4</v>
      </c>
      <c r="D33" s="15">
        <f>3*POWER(B33,2)-10*B33+1</f>
        <v>14</v>
      </c>
      <c r="E33" s="15">
        <f>B33-(C33/D33)</f>
        <v>-0.7142857142857143</v>
      </c>
      <c r="F33" s="8">
        <f>$B$20</f>
        <v>1E-4</v>
      </c>
      <c r="G33" s="19">
        <f>ABS((E33-B33))</f>
        <v>0.2857142857142857</v>
      </c>
      <c r="H33" s="2" t="str">
        <f>IF(G33&lt;F33, " FIM!", "")</f>
        <v/>
      </c>
      <c r="I33" s="2"/>
      <c r="J33" s="2"/>
      <c r="K33" s="2"/>
      <c r="L33" s="2" t="str">
        <f t="shared" si="1"/>
        <v xml:space="preserve"> </v>
      </c>
    </row>
    <row r="34" spans="1:12" customFormat="1">
      <c r="A34" s="8">
        <v>2</v>
      </c>
      <c r="B34" s="15">
        <f>E33</f>
        <v>-0.7142857142857143</v>
      </c>
      <c r="C34" s="9">
        <f>POWER(B34,3)-5*POWER(B34,2)+B34+3</f>
        <v>-0.629737609329446</v>
      </c>
      <c r="D34" s="15">
        <f>3*POWER(B34,2)-10*B34+1</f>
        <v>9.6734693877551017</v>
      </c>
      <c r="E34" s="15">
        <f>B34-(C34/D34)</f>
        <v>-0.64918625678119346</v>
      </c>
      <c r="F34" s="8">
        <f>$B$20</f>
        <v>1E-4</v>
      </c>
      <c r="G34" s="19">
        <f>ABS((E34-B34))</f>
        <v>6.5099457504520841E-2</v>
      </c>
      <c r="H34" s="2" t="str">
        <f>IF(G34&lt;F34, " FIM!", "")</f>
        <v/>
      </c>
      <c r="I34" s="2"/>
      <c r="J34" s="2"/>
      <c r="K34" s="2"/>
      <c r="L34" s="2" t="str">
        <f t="shared" si="1"/>
        <v xml:space="preserve"> </v>
      </c>
    </row>
    <row r="35" spans="1:12" customFormat="1">
      <c r="A35" s="8">
        <v>3</v>
      </c>
      <c r="B35" s="15">
        <f>E34</f>
        <v>-0.64918625678119346</v>
      </c>
      <c r="C35" s="9">
        <f>POWER(B35,3)-5*POWER(B35,2)+B35+3</f>
        <v>-2.9995107927552667E-2</v>
      </c>
      <c r="D35" s="15">
        <f>3*POWER(B35,2)-10*B35+1</f>
        <v>8.7561909557926683</v>
      </c>
      <c r="E35" s="15">
        <f>B35-(C35/D35)</f>
        <v>-0.64576066818005529</v>
      </c>
      <c r="F35" s="8">
        <f>$B$20</f>
        <v>1E-4</v>
      </c>
      <c r="G35" s="19">
        <f>ABS((E35-B35))</f>
        <v>3.4255886011381742E-3</v>
      </c>
      <c r="H35" s="2" t="str">
        <f>IF(G35&lt;F35, " FIM!", "")</f>
        <v/>
      </c>
      <c r="I35" s="2"/>
      <c r="J35" s="2"/>
      <c r="K35" s="2"/>
      <c r="L35" s="2"/>
    </row>
    <row r="36" spans="1:12" customFormat="1">
      <c r="A36" s="8">
        <v>4</v>
      </c>
      <c r="B36" s="15">
        <f>E35</f>
        <v>-0.64576066818005529</v>
      </c>
      <c r="C36" s="9">
        <f>POWER(B36,3)-5*POWER(B36,2)+B36+3</f>
        <v>-8.1487022885351479E-5</v>
      </c>
      <c r="D36" s="15">
        <f>3*POWER(B36,2)-10*B36+1</f>
        <v>8.7086272035056069</v>
      </c>
      <c r="E36" s="15">
        <f>B36-(C36/D36)</f>
        <v>-0.64575131113433715</v>
      </c>
      <c r="F36" s="8">
        <f>$B$20</f>
        <v>1E-4</v>
      </c>
      <c r="G36" s="19">
        <f>ABS((E36-B36))</f>
        <v>9.357045718139112E-6</v>
      </c>
      <c r="H36" s="2" t="str">
        <f>IF(G36&lt;F36, " FIM!", "")</f>
        <v xml:space="preserve"> FIM!</v>
      </c>
      <c r="I36" s="2"/>
      <c r="J36" s="2"/>
      <c r="K36" s="2"/>
      <c r="L36" s="2"/>
    </row>
    <row r="37" spans="1:12" customForma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customFormat="1">
      <c r="A38" s="2"/>
      <c r="B38" s="1" t="s">
        <v>20</v>
      </c>
      <c r="C38" s="33">
        <f>E36</f>
        <v>-0.64575131113433715</v>
      </c>
      <c r="D38" s="2"/>
      <c r="E38" s="2"/>
      <c r="F38" s="2"/>
      <c r="G38" s="2"/>
      <c r="H38" s="2"/>
      <c r="I38" s="2"/>
      <c r="J38" s="2"/>
      <c r="K38" s="2"/>
      <c r="L38" s="2"/>
    </row>
    <row r="39" spans="1:12" customForma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customForma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</sheetData>
  <conditionalFormatting sqref="D27:D28">
    <cfRule type="cellIs" dxfId="4" priority="1" stopIfTrue="1" operator="greaterThan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55862-0DBA-4898-86B5-DE2F75142A0F}">
  <dimension ref="A2:XFD60"/>
  <sheetViews>
    <sheetView topLeftCell="H1" zoomScaleNormal="100" workbookViewId="0">
      <selection activeCell="N25" sqref="N25"/>
    </sheetView>
  </sheetViews>
  <sheetFormatPr defaultRowHeight="15.75"/>
  <cols>
    <col min="1" max="1" width="9.28515625" style="2" customWidth="1"/>
    <col min="2" max="2" width="12.140625" style="2" customWidth="1"/>
    <col min="3" max="3" width="14.7109375" style="2" customWidth="1"/>
    <col min="4" max="4" width="10.140625" style="2" customWidth="1"/>
    <col min="5" max="5" width="10.85546875" style="2" customWidth="1"/>
    <col min="6" max="6" width="10.28515625" style="2" customWidth="1"/>
    <col min="7" max="7" width="12.42578125" style="2" customWidth="1"/>
    <col min="8" max="9" width="12.28515625" style="2" customWidth="1"/>
    <col min="10" max="10" width="7.85546875" style="2" customWidth="1"/>
    <col min="11" max="11" width="12" style="2" customWidth="1"/>
    <col min="12" max="12" width="7.140625" style="2" customWidth="1"/>
    <col min="13" max="1024" width="12.140625" style="2" customWidth="1"/>
  </cols>
  <sheetData>
    <row r="2" spans="1:3" customFormat="1">
      <c r="A2" s="1" t="s">
        <v>30</v>
      </c>
      <c r="B2" s="2"/>
      <c r="C2" s="2"/>
    </row>
    <row r="3" spans="1:3" customFormat="1">
      <c r="A3" s="1"/>
      <c r="B3" s="2"/>
      <c r="C3" s="2"/>
    </row>
    <row r="4" spans="1:3" customFormat="1" ht="17.25">
      <c r="A4" s="4" t="s">
        <v>2</v>
      </c>
      <c r="B4" s="4" t="s">
        <v>31</v>
      </c>
      <c r="C4" s="5"/>
    </row>
    <row r="5" spans="1:3" customFormat="1">
      <c r="A5" s="2"/>
      <c r="B5" s="6"/>
      <c r="C5" s="2"/>
    </row>
    <row r="6" spans="1:3" customFormat="1">
      <c r="A6" s="7" t="s">
        <v>4</v>
      </c>
      <c r="B6" s="7" t="s">
        <v>2</v>
      </c>
      <c r="C6" s="2"/>
    </row>
    <row r="7" spans="1:3" customFormat="1">
      <c r="A7" s="8">
        <v>-1</v>
      </c>
      <c r="B7" s="9">
        <f t="shared" ref="B7:B19" si="0">POWER(A7,2)-9.5*A7+8.5</f>
        <v>19</v>
      </c>
      <c r="C7" s="2"/>
    </row>
    <row r="8" spans="1:3" customFormat="1">
      <c r="A8" s="8">
        <v>0</v>
      </c>
      <c r="B8" s="9">
        <f t="shared" si="0"/>
        <v>8.5</v>
      </c>
      <c r="C8" s="2"/>
    </row>
    <row r="9" spans="1:3" customFormat="1">
      <c r="A9" s="34">
        <v>1</v>
      </c>
      <c r="B9" s="35">
        <f t="shared" si="0"/>
        <v>0</v>
      </c>
      <c r="C9" s="2"/>
    </row>
    <row r="10" spans="1:3" customFormat="1">
      <c r="A10" s="34">
        <v>2</v>
      </c>
      <c r="B10" s="35">
        <f t="shared" si="0"/>
        <v>-6.5</v>
      </c>
      <c r="C10" s="2"/>
    </row>
    <row r="11" spans="1:3" customFormat="1">
      <c r="A11" s="8">
        <v>3</v>
      </c>
      <c r="B11" s="9">
        <f t="shared" si="0"/>
        <v>-11</v>
      </c>
      <c r="C11" s="2"/>
    </row>
    <row r="12" spans="1:3" customFormat="1">
      <c r="A12" s="8">
        <v>4</v>
      </c>
      <c r="B12" s="9">
        <f t="shared" si="0"/>
        <v>-13.5</v>
      </c>
      <c r="C12" s="2"/>
    </row>
    <row r="13" spans="1:3" customFormat="1">
      <c r="A13" s="8">
        <v>5</v>
      </c>
      <c r="B13" s="9">
        <f t="shared" si="0"/>
        <v>-14</v>
      </c>
      <c r="C13" s="2"/>
    </row>
    <row r="14" spans="1:3" customFormat="1">
      <c r="A14" s="8">
        <v>6</v>
      </c>
      <c r="B14" s="9">
        <f t="shared" si="0"/>
        <v>-12.5</v>
      </c>
      <c r="C14" s="2"/>
    </row>
    <row r="15" spans="1:3" customFormat="1">
      <c r="A15" s="8">
        <v>7</v>
      </c>
      <c r="B15" s="9">
        <f t="shared" si="0"/>
        <v>-9</v>
      </c>
      <c r="C15" s="2"/>
    </row>
    <row r="16" spans="1:3" customFormat="1">
      <c r="A16" s="36">
        <v>8</v>
      </c>
      <c r="B16" s="37">
        <f t="shared" si="0"/>
        <v>-3.5</v>
      </c>
      <c r="C16" s="2"/>
    </row>
    <row r="17" spans="1:12" customFormat="1">
      <c r="A17" s="36">
        <v>9</v>
      </c>
      <c r="B17" s="37">
        <f t="shared" si="0"/>
        <v>4</v>
      </c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customFormat="1">
      <c r="A18" s="8">
        <v>10</v>
      </c>
      <c r="B18" s="9">
        <f t="shared" si="0"/>
        <v>13.5</v>
      </c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customFormat="1">
      <c r="A19" s="8">
        <v>11</v>
      </c>
      <c r="B19" s="9">
        <f t="shared" si="0"/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customFormat="1">
      <c r="A20" s="22" t="s">
        <v>5</v>
      </c>
      <c r="B20" s="22">
        <v>1E-3</v>
      </c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customFormat="1">
      <c r="A21" s="23" t="s">
        <v>23</v>
      </c>
      <c r="B21" s="30" t="s">
        <v>32</v>
      </c>
      <c r="C21" s="31"/>
      <c r="D21" s="2"/>
      <c r="E21" s="2"/>
      <c r="F21" s="2"/>
      <c r="G21" s="2"/>
      <c r="H21" s="2"/>
      <c r="I21" s="2"/>
      <c r="J21" s="2"/>
      <c r="K21" s="2"/>
      <c r="L21" s="2"/>
    </row>
    <row r="22" spans="1:12" customFormat="1">
      <c r="A22" s="23" t="s">
        <v>8</v>
      </c>
      <c r="B22" s="32">
        <v>2</v>
      </c>
      <c r="C22" s="31"/>
      <c r="D22" s="2"/>
      <c r="E22" s="2"/>
      <c r="F22" s="2"/>
      <c r="G22" s="2"/>
      <c r="H22" s="2"/>
      <c r="I22" s="2"/>
      <c r="J22" s="2"/>
      <c r="K22" s="2"/>
      <c r="L22" s="2"/>
    </row>
    <row r="24" spans="1:12" customFormat="1">
      <c r="A24" s="3" t="s">
        <v>10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customFormat="1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customFormat="1">
      <c r="A26" s="7" t="s">
        <v>4</v>
      </c>
      <c r="B26" s="7" t="s">
        <v>2</v>
      </c>
      <c r="C26" s="7" t="s">
        <v>11</v>
      </c>
      <c r="D26" s="7" t="s">
        <v>12</v>
      </c>
      <c r="E26" s="2"/>
      <c r="F26" s="2"/>
      <c r="G26" s="2"/>
      <c r="H26" s="2"/>
      <c r="I26" s="2"/>
      <c r="J26" s="2"/>
      <c r="K26" s="2"/>
      <c r="L26" s="2"/>
    </row>
    <row r="27" spans="1:12" customFormat="1">
      <c r="A27" s="36">
        <v>8</v>
      </c>
      <c r="B27" s="37">
        <f>POWER(A27,2)-9.5*A27+8.5</f>
        <v>-3.5</v>
      </c>
      <c r="C27" s="15">
        <f>2</f>
        <v>2</v>
      </c>
      <c r="D27" s="8">
        <f>B27*C27</f>
        <v>-7</v>
      </c>
      <c r="E27" s="1" t="str">
        <f>IF(D27&gt;0, "&lt;--- Aqui", "")</f>
        <v/>
      </c>
      <c r="F27" s="2"/>
      <c r="G27" s="2"/>
      <c r="H27" s="2"/>
      <c r="I27" s="2"/>
      <c r="J27" s="2"/>
      <c r="K27" s="2"/>
      <c r="L27" s="2"/>
    </row>
    <row r="28" spans="1:12" customFormat="1">
      <c r="A28" s="36">
        <v>9</v>
      </c>
      <c r="B28" s="37">
        <f>POWER(A28,2)-9.5*A28+8.5</f>
        <v>4</v>
      </c>
      <c r="C28" s="15">
        <v>2</v>
      </c>
      <c r="D28" s="8">
        <f>B28*C28</f>
        <v>8</v>
      </c>
      <c r="E28" s="1" t="str">
        <f>IF(D28&gt;0, "&lt;--- Aqui", "")</f>
        <v>&lt;--- Aqui</v>
      </c>
      <c r="F28" s="2"/>
      <c r="G28" s="2"/>
      <c r="H28" s="2"/>
      <c r="I28" s="2"/>
      <c r="J28" s="2"/>
      <c r="K28" s="2"/>
      <c r="L28" s="2" t="str">
        <f t="shared" ref="L28:L34" si="1">IF(K28&lt;J28, "Fim!!!", " ")</f>
        <v xml:space="preserve"> </v>
      </c>
    </row>
    <row r="29" spans="1:12" customForma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 t="str">
        <f t="shared" si="1"/>
        <v xml:space="preserve"> </v>
      </c>
    </row>
    <row r="30" spans="1:12" customForma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 t="str">
        <f t="shared" si="1"/>
        <v xml:space="preserve"> </v>
      </c>
    </row>
    <row r="31" spans="1:12" customFormat="1">
      <c r="A31" s="2"/>
      <c r="B31" s="2"/>
      <c r="C31" s="2"/>
      <c r="D31" s="2"/>
      <c r="E31" s="2"/>
      <c r="F31" s="2"/>
      <c r="G31" s="2" t="s">
        <v>13</v>
      </c>
      <c r="H31" s="2"/>
      <c r="I31" s="2"/>
      <c r="J31" s="2"/>
      <c r="K31" s="2"/>
      <c r="L31" s="2" t="str">
        <f t="shared" si="1"/>
        <v xml:space="preserve"> </v>
      </c>
    </row>
    <row r="32" spans="1:12" customFormat="1">
      <c r="A32" s="7" t="s">
        <v>14</v>
      </c>
      <c r="B32" s="7" t="s">
        <v>15</v>
      </c>
      <c r="C32" s="7" t="s">
        <v>2</v>
      </c>
      <c r="D32" s="7" t="s">
        <v>16</v>
      </c>
      <c r="E32" s="7" t="s">
        <v>17</v>
      </c>
      <c r="F32" s="7" t="s">
        <v>18</v>
      </c>
      <c r="G32" s="7" t="s">
        <v>19</v>
      </c>
      <c r="H32" s="2"/>
      <c r="I32" s="2"/>
      <c r="J32" s="2"/>
      <c r="K32" s="2"/>
      <c r="L32" s="2" t="str">
        <f t="shared" si="1"/>
        <v xml:space="preserve"> </v>
      </c>
    </row>
    <row r="33" spans="1:12" customFormat="1">
      <c r="A33" s="8">
        <v>1</v>
      </c>
      <c r="B33" s="8">
        <v>9</v>
      </c>
      <c r="C33" s="9">
        <f>POWER(B33,2)-9.5*B33+8.5</f>
        <v>4</v>
      </c>
      <c r="D33" s="8">
        <f>2*B33-9.5</f>
        <v>8.5</v>
      </c>
      <c r="E33" s="38">
        <f>B33-(C33/D33)</f>
        <v>8.5294117647058822</v>
      </c>
      <c r="F33" s="8">
        <f>$B$20</f>
        <v>1E-3</v>
      </c>
      <c r="G33" s="19">
        <f>ABS((E33-B33))</f>
        <v>0.47058823529411775</v>
      </c>
      <c r="H33" s="2" t="str">
        <f>IF(G33&lt;F33, " FIM!", "")</f>
        <v/>
      </c>
      <c r="I33" s="2"/>
      <c r="J33" s="2"/>
      <c r="K33" s="2"/>
      <c r="L33" s="2" t="str">
        <f t="shared" si="1"/>
        <v xml:space="preserve"> </v>
      </c>
    </row>
    <row r="34" spans="1:12" customFormat="1">
      <c r="A34" s="8">
        <v>2</v>
      </c>
      <c r="B34" s="15">
        <f>E33</f>
        <v>8.5294117647058822</v>
      </c>
      <c r="C34" s="9">
        <f>POWER(B34,2)-9.5*B34+8.5</f>
        <v>0.22145328719723523</v>
      </c>
      <c r="D34" s="8">
        <f>2*B34-9.5</f>
        <v>7.5588235294117645</v>
      </c>
      <c r="E34" s="38">
        <f>B34-(C34/D34)</f>
        <v>8.5001144426642252</v>
      </c>
      <c r="F34" s="8">
        <f>$B$20</f>
        <v>1E-3</v>
      </c>
      <c r="G34" s="19">
        <f>ABS((E34-B34))</f>
        <v>2.9297322041657026E-2</v>
      </c>
      <c r="H34" s="2" t="str">
        <f>IF(G34&lt;F34, " FIM!", "")</f>
        <v/>
      </c>
      <c r="I34" s="2"/>
      <c r="J34" s="2"/>
      <c r="K34" s="2"/>
      <c r="L34" s="2" t="str">
        <f t="shared" si="1"/>
        <v xml:space="preserve"> </v>
      </c>
    </row>
    <row r="35" spans="1:12" customFormat="1">
      <c r="A35" s="8">
        <v>3</v>
      </c>
      <c r="B35" s="15">
        <f>E34</f>
        <v>8.5001144426642252</v>
      </c>
      <c r="C35" s="9">
        <f>POWER(B35,2)-9.5*B35+8.5</f>
        <v>8.5833307880989196E-4</v>
      </c>
      <c r="D35" s="8">
        <f>2*B35-9.5</f>
        <v>7.5002288853284504</v>
      </c>
      <c r="E35" s="38">
        <f>B35-(C35/D35)</f>
        <v>8.5000000017462298</v>
      </c>
      <c r="F35" s="8">
        <f>$B$20</f>
        <v>1E-3</v>
      </c>
      <c r="G35" s="19">
        <f>ABS((E35-B35))</f>
        <v>1.1444091799539535E-4</v>
      </c>
      <c r="H35" s="2" t="str">
        <f>IF(G35&lt;F35, " FIM!", "")</f>
        <v xml:space="preserve"> FIM!</v>
      </c>
      <c r="I35" s="2"/>
      <c r="J35" s="2"/>
      <c r="K35" s="2"/>
      <c r="L35" s="2"/>
    </row>
    <row r="36" spans="1:12" customForma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customFormat="1">
      <c r="A37" s="2"/>
      <c r="B37" s="1" t="s">
        <v>20</v>
      </c>
      <c r="C37" s="33">
        <f>E35</f>
        <v>8.5000000017462298</v>
      </c>
      <c r="D37" s="2"/>
      <c r="E37" s="2"/>
      <c r="F37" s="2"/>
      <c r="G37" s="2"/>
      <c r="H37" s="2"/>
      <c r="I37" s="2"/>
      <c r="J37" s="2"/>
      <c r="K37" s="2"/>
      <c r="L37" s="2"/>
    </row>
    <row r="41" spans="1:12" customFormat="1">
      <c r="A41" s="7" t="s">
        <v>4</v>
      </c>
      <c r="B41" s="7" t="s">
        <v>2</v>
      </c>
      <c r="C41" s="7" t="s">
        <v>11</v>
      </c>
      <c r="D41" s="7" t="s">
        <v>12</v>
      </c>
      <c r="E41" s="2"/>
      <c r="F41" s="2"/>
      <c r="G41" s="2"/>
      <c r="H41" s="2"/>
      <c r="I41" s="2"/>
      <c r="J41" s="2"/>
      <c r="K41" s="2"/>
      <c r="L41" s="2"/>
    </row>
    <row r="42" spans="1:12" customFormat="1">
      <c r="A42" s="34">
        <v>1</v>
      </c>
      <c r="B42" s="35">
        <f>POWER(A42,2)-9.5*A42+8.5</f>
        <v>0</v>
      </c>
      <c r="C42" s="15">
        <f>2</f>
        <v>2</v>
      </c>
      <c r="D42" s="8">
        <f>B42*C42</f>
        <v>0</v>
      </c>
      <c r="E42" s="1" t="str">
        <f>IF(D42&gt;0, "&lt;--- Aqui", "")</f>
        <v/>
      </c>
      <c r="F42" s="2"/>
      <c r="G42" s="2"/>
      <c r="H42" s="2"/>
      <c r="I42" s="2"/>
      <c r="J42" s="2"/>
      <c r="K42" s="2"/>
      <c r="L42" s="2"/>
    </row>
    <row r="43" spans="1:12" customFormat="1">
      <c r="A43" s="34">
        <v>2</v>
      </c>
      <c r="B43" s="35">
        <f>POWER(A43,2)-9.5*A43+8.5</f>
        <v>-6.5</v>
      </c>
      <c r="C43" s="15">
        <v>2</v>
      </c>
      <c r="D43" s="8">
        <f>B43*C43</f>
        <v>-13</v>
      </c>
      <c r="E43" s="1" t="str">
        <f>IF(D43&gt;0, "&lt;--- Aqui", "")</f>
        <v/>
      </c>
      <c r="F43" s="2"/>
      <c r="G43" s="2"/>
      <c r="H43" s="2"/>
      <c r="I43" s="2"/>
      <c r="J43" s="2"/>
      <c r="K43" s="2"/>
      <c r="L43" s="2"/>
    </row>
    <row r="46" spans="1:12" customFormat="1">
      <c r="A46" s="2"/>
      <c r="B46" s="2"/>
      <c r="C46" s="2"/>
      <c r="D46" s="2"/>
      <c r="E46" s="2"/>
      <c r="F46" s="2"/>
      <c r="G46" s="2" t="s">
        <v>13</v>
      </c>
      <c r="H46" s="2"/>
      <c r="I46" s="2"/>
      <c r="J46" s="2"/>
      <c r="K46" s="2"/>
      <c r="L46" s="2"/>
    </row>
    <row r="47" spans="1:12" customFormat="1">
      <c r="A47" s="7" t="s">
        <v>14</v>
      </c>
      <c r="B47" s="7" t="s">
        <v>15</v>
      </c>
      <c r="C47" s="7" t="s">
        <v>2</v>
      </c>
      <c r="D47" s="7" t="s">
        <v>16</v>
      </c>
      <c r="E47" s="7" t="s">
        <v>17</v>
      </c>
      <c r="F47" s="7" t="s">
        <v>18</v>
      </c>
      <c r="G47" s="7" t="s">
        <v>19</v>
      </c>
      <c r="H47" s="2"/>
      <c r="I47" s="2"/>
      <c r="J47" s="2"/>
      <c r="K47" s="2"/>
      <c r="L47" s="2"/>
    </row>
    <row r="48" spans="1:12" customFormat="1">
      <c r="A48" s="8">
        <v>1</v>
      </c>
      <c r="B48" s="8">
        <v>1</v>
      </c>
      <c r="C48" s="9">
        <f>POWER(B48,2)-9.5*B48+8.5</f>
        <v>0</v>
      </c>
      <c r="D48" s="8">
        <f>2*B48-9.5</f>
        <v>-7.5</v>
      </c>
      <c r="E48" s="38">
        <f>B48-(C48/D48)</f>
        <v>1</v>
      </c>
      <c r="F48" s="8">
        <f>$B$20</f>
        <v>1E-3</v>
      </c>
      <c r="G48" s="19">
        <f>ABS((E48-B48))</f>
        <v>0</v>
      </c>
      <c r="H48" s="2" t="str">
        <f>IF(G48&lt;F48, " FIM!", "")</f>
        <v xml:space="preserve"> FIM!</v>
      </c>
      <c r="I48" s="2"/>
      <c r="J48" s="2"/>
      <c r="K48" s="2"/>
      <c r="L48" s="2"/>
    </row>
    <row r="49" spans="1:9" customFormat="1">
      <c r="A49" s="2"/>
      <c r="B49" s="2"/>
      <c r="C49" s="2"/>
      <c r="D49" s="2"/>
      <c r="E49" s="2"/>
      <c r="F49" s="2"/>
      <c r="G49" s="2"/>
      <c r="H49" s="2"/>
      <c r="I49" s="2"/>
    </row>
    <row r="50" spans="1:9" customFormat="1">
      <c r="A50" s="2"/>
      <c r="B50" s="1" t="s">
        <v>20</v>
      </c>
      <c r="C50" s="33">
        <f>E48</f>
        <v>1</v>
      </c>
      <c r="D50" s="2"/>
      <c r="E50" s="2"/>
      <c r="F50" s="2"/>
      <c r="G50" s="2"/>
      <c r="H50" s="2"/>
      <c r="I50" s="2"/>
    </row>
    <row r="53" spans="1:9" customFormat="1">
      <c r="A53" s="2"/>
      <c r="B53" s="2"/>
      <c r="C53" s="2"/>
      <c r="D53" s="2"/>
      <c r="E53" s="2"/>
      <c r="F53" s="2"/>
      <c r="G53" s="2" t="s">
        <v>13</v>
      </c>
      <c r="H53" s="2"/>
      <c r="I53" s="2"/>
    </row>
    <row r="54" spans="1:9" customFormat="1">
      <c r="A54" s="7" t="s">
        <v>14</v>
      </c>
      <c r="B54" s="7" t="s">
        <v>15</v>
      </c>
      <c r="C54" s="7" t="s">
        <v>2</v>
      </c>
      <c r="D54" s="7" t="s">
        <v>16</v>
      </c>
      <c r="E54" s="7" t="s">
        <v>17</v>
      </c>
      <c r="F54" s="7" t="s">
        <v>18</v>
      </c>
      <c r="G54" s="7" t="s">
        <v>19</v>
      </c>
      <c r="H54" s="2"/>
      <c r="I54" s="2"/>
    </row>
    <row r="55" spans="1:9" customFormat="1">
      <c r="A55" s="8">
        <v>1</v>
      </c>
      <c r="B55" s="8">
        <v>2</v>
      </c>
      <c r="C55" s="9">
        <f>POWER(B55,2)-9.5*B55+8.5</f>
        <v>-6.5</v>
      </c>
      <c r="D55" s="8">
        <f>2*B55-9.5</f>
        <v>-5.5</v>
      </c>
      <c r="E55" s="38">
        <f>B55-(C55/D55)</f>
        <v>0.81818181818181812</v>
      </c>
      <c r="F55" s="8">
        <f>$B$20</f>
        <v>1E-3</v>
      </c>
      <c r="G55" s="19">
        <f>ABS((E55-B55))</f>
        <v>1.1818181818181819</v>
      </c>
      <c r="H55" s="2" t="str">
        <f>IF(G55&lt;F55, " FIM!", "")</f>
        <v/>
      </c>
      <c r="I55" s="2"/>
    </row>
    <row r="56" spans="1:9" customFormat="1">
      <c r="A56" s="8">
        <v>2</v>
      </c>
      <c r="B56" s="38">
        <f>E55</f>
        <v>0.81818181818181812</v>
      </c>
      <c r="C56" s="9">
        <f>POWER(B56,2)-9.5*B56+8.5</f>
        <v>1.3966942148760335</v>
      </c>
      <c r="D56" s="8">
        <f>2*B56-9.5</f>
        <v>-7.8636363636363633</v>
      </c>
      <c r="E56" s="38">
        <f>B56-(C56/D56)</f>
        <v>0.9957961114030478</v>
      </c>
      <c r="F56" s="8">
        <f>$B$20</f>
        <v>1E-3</v>
      </c>
      <c r="G56" s="19">
        <f>ABS((E56-B56))</f>
        <v>0.17761429322122968</v>
      </c>
      <c r="H56" s="2" t="str">
        <f>IF(G56&lt;F56, " FIM!", "")</f>
        <v/>
      </c>
      <c r="I56" s="2"/>
    </row>
    <row r="57" spans="1:9" customFormat="1">
      <c r="A57" s="8">
        <v>3</v>
      </c>
      <c r="B57" s="38">
        <f>E56</f>
        <v>0.9957961114030478</v>
      </c>
      <c r="C57" s="9">
        <f>POWER(B57,2)-9.5*B57+8.5</f>
        <v>3.1546837156477991E-2</v>
      </c>
      <c r="D57" s="8">
        <f>2*B57-9.5</f>
        <v>-7.508407777193904</v>
      </c>
      <c r="E57" s="38">
        <f>B57-(C57/D57)</f>
        <v>0.99999764628136101</v>
      </c>
      <c r="F57" s="8">
        <f>$B$20</f>
        <v>1E-3</v>
      </c>
      <c r="G57" s="19">
        <f>ABS((E57-B57))</f>
        <v>4.2015348783132067E-3</v>
      </c>
      <c r="H57" s="2" t="str">
        <f>IF(G57&lt;F57, " FIM!", "")</f>
        <v/>
      </c>
      <c r="I57" s="2"/>
    </row>
    <row r="58" spans="1:9" customFormat="1">
      <c r="A58" s="8">
        <v>4</v>
      </c>
      <c r="B58" s="38">
        <f>E57</f>
        <v>0.99999764628136101</v>
      </c>
      <c r="C58" s="9">
        <f>POWER(B58,2)-9.5*B58+8.5</f>
        <v>1.7652895332176399E-5</v>
      </c>
      <c r="D58" s="8">
        <f>2*B58-9.5</f>
        <v>-7.5000047074372782</v>
      </c>
      <c r="E58" s="38">
        <f>B58-(C58/D58)</f>
        <v>0.99999999999926126</v>
      </c>
      <c r="F58" s="8">
        <f>$B$20</f>
        <v>1E-3</v>
      </c>
      <c r="G58" s="19">
        <f>ABS((E58-B58))</f>
        <v>2.353717900249741E-6</v>
      </c>
      <c r="H58" s="2" t="str">
        <f>IF(G58&lt;F58, " FIM!", "")</f>
        <v xml:space="preserve"> FIM!</v>
      </c>
      <c r="I58" s="2"/>
    </row>
    <row r="60" spans="1:9" customFormat="1">
      <c r="A60" s="2"/>
      <c r="B60" s="1" t="s">
        <v>20</v>
      </c>
      <c r="C60" s="33">
        <f>B58</f>
        <v>0.99999764628136101</v>
      </c>
      <c r="D60" s="2"/>
      <c r="E60" s="2"/>
      <c r="F60" s="2"/>
      <c r="G60" s="2"/>
      <c r="H60" s="2"/>
      <c r="I60" s="2"/>
    </row>
  </sheetData>
  <conditionalFormatting sqref="D27:D28">
    <cfRule type="cellIs" dxfId="3" priority="1" stopIfTrue="1" operator="greaterThan">
      <formula>0</formula>
    </cfRule>
  </conditionalFormatting>
  <conditionalFormatting sqref="D42:D43">
    <cfRule type="cellIs" dxfId="2" priority="2" stopIfTrue="1" operator="greaterThan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4A445-3EF0-433D-8CCC-FF92C8580949}">
  <dimension ref="A2:XFD37"/>
  <sheetViews>
    <sheetView zoomScale="70" zoomScaleNormal="70" workbookViewId="0">
      <selection activeCell="K28" sqref="K28"/>
    </sheetView>
  </sheetViews>
  <sheetFormatPr defaultRowHeight="15.75"/>
  <cols>
    <col min="1" max="1" width="9.28515625" style="2" customWidth="1"/>
    <col min="2" max="2" width="12.140625" style="2" customWidth="1"/>
    <col min="3" max="3" width="14.7109375" style="2" customWidth="1"/>
    <col min="4" max="4" width="10.140625" style="2" customWidth="1"/>
    <col min="5" max="5" width="10.85546875" style="2" customWidth="1"/>
    <col min="6" max="6" width="9.5703125" style="2" customWidth="1"/>
    <col min="7" max="7" width="10.85546875" style="2" customWidth="1"/>
    <col min="8" max="9" width="12.28515625" style="2" customWidth="1"/>
    <col min="10" max="10" width="7.85546875" style="2" customWidth="1"/>
    <col min="11" max="11" width="12" style="2" customWidth="1"/>
    <col min="12" max="12" width="7.140625" style="2" customWidth="1"/>
    <col min="13" max="1024" width="12.140625" style="2" customWidth="1"/>
  </cols>
  <sheetData>
    <row r="2" spans="1:3" customFormat="1">
      <c r="A2" s="1" t="s">
        <v>33</v>
      </c>
      <c r="B2" s="2"/>
      <c r="C2" s="2"/>
    </row>
    <row r="3" spans="1:3" customFormat="1">
      <c r="A3" s="1"/>
      <c r="B3" s="2"/>
      <c r="C3" s="2"/>
    </row>
    <row r="4" spans="1:3" customFormat="1">
      <c r="A4" s="4" t="s">
        <v>2</v>
      </c>
      <c r="B4" s="4" t="s">
        <v>34</v>
      </c>
      <c r="C4" s="5"/>
    </row>
    <row r="5" spans="1:3" customFormat="1">
      <c r="A5" s="2"/>
      <c r="B5" s="6"/>
      <c r="C5" s="2"/>
    </row>
    <row r="6" spans="1:3" customFormat="1">
      <c r="A6" s="7" t="s">
        <v>4</v>
      </c>
      <c r="B6" s="7" t="s">
        <v>2</v>
      </c>
      <c r="C6" s="2"/>
    </row>
    <row r="7" spans="1:3" customFormat="1">
      <c r="A7" s="8">
        <v>-1</v>
      </c>
      <c r="B7" s="9">
        <f t="shared" ref="B7:B14" si="0">8-4.5*(A7-SIN(A7))</f>
        <v>8.7133805683644656</v>
      </c>
      <c r="C7" s="2"/>
    </row>
    <row r="8" spans="1:3" customFormat="1">
      <c r="A8" s="8">
        <v>0</v>
      </c>
      <c r="B8" s="9">
        <f t="shared" si="0"/>
        <v>8</v>
      </c>
      <c r="C8" s="2"/>
    </row>
    <row r="9" spans="1:3" customFormat="1">
      <c r="A9" s="8">
        <v>1</v>
      </c>
      <c r="B9" s="9">
        <f t="shared" si="0"/>
        <v>7.2866194316355344</v>
      </c>
      <c r="C9" s="2"/>
    </row>
    <row r="10" spans="1:3" customFormat="1">
      <c r="A10" s="10">
        <v>2</v>
      </c>
      <c r="B10" s="11">
        <f t="shared" si="0"/>
        <v>3.0918384207155674</v>
      </c>
      <c r="C10" s="2"/>
    </row>
    <row r="11" spans="1:3" customFormat="1">
      <c r="A11" s="10">
        <v>3</v>
      </c>
      <c r="B11" s="11">
        <f t="shared" si="0"/>
        <v>-4.8649599637305965</v>
      </c>
      <c r="C11" s="2"/>
    </row>
    <row r="12" spans="1:3" customFormat="1">
      <c r="A12" s="8">
        <v>4</v>
      </c>
      <c r="B12" s="9">
        <f t="shared" si="0"/>
        <v>-13.405611228885679</v>
      </c>
      <c r="C12" s="2"/>
    </row>
    <row r="13" spans="1:3" customFormat="1">
      <c r="A13" s="8">
        <v>5</v>
      </c>
      <c r="B13" s="9">
        <f t="shared" si="0"/>
        <v>-18.815159235984122</v>
      </c>
      <c r="C13" s="2"/>
    </row>
    <row r="14" spans="1:3" customFormat="1">
      <c r="A14" s="8">
        <v>6</v>
      </c>
      <c r="B14" s="9">
        <f t="shared" si="0"/>
        <v>-20.257369741895168</v>
      </c>
      <c r="C14" s="2"/>
    </row>
    <row r="15" spans="1:3" customFormat="1">
      <c r="A15" s="8"/>
      <c r="B15" s="9"/>
      <c r="C15" s="2"/>
    </row>
    <row r="16" spans="1:3" customFormat="1">
      <c r="A16" s="8"/>
      <c r="B16" s="9"/>
      <c r="C16" s="2"/>
    </row>
    <row r="17" spans="1:12" customFormat="1">
      <c r="A17" s="8"/>
      <c r="B17" s="9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customFormat="1">
      <c r="A18" s="8"/>
      <c r="B18" s="9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customFormat="1">
      <c r="A19" s="8"/>
      <c r="B19" s="9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customFormat="1">
      <c r="A20" s="22" t="s">
        <v>5</v>
      </c>
      <c r="B20" s="22">
        <v>1E-3</v>
      </c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customFormat="1">
      <c r="A21" s="23" t="s">
        <v>35</v>
      </c>
      <c r="B21" s="30" t="s">
        <v>36</v>
      </c>
      <c r="C21" s="31"/>
      <c r="D21" s="2"/>
      <c r="E21" s="2"/>
      <c r="F21" s="2"/>
      <c r="G21" s="2"/>
      <c r="H21" s="2"/>
      <c r="I21" s="2"/>
      <c r="J21" s="2"/>
      <c r="K21" s="2"/>
      <c r="L21" s="2"/>
    </row>
    <row r="22" spans="1:12" customFormat="1">
      <c r="A22" s="23" t="s">
        <v>8</v>
      </c>
      <c r="B22" s="30" t="s">
        <v>37</v>
      </c>
      <c r="C22" s="31"/>
      <c r="D22" s="2"/>
      <c r="E22" s="2"/>
      <c r="F22" s="2"/>
      <c r="G22" s="2"/>
      <c r="H22" s="2"/>
      <c r="I22" s="2"/>
      <c r="J22" s="2"/>
      <c r="K22" s="2"/>
      <c r="L22" s="2"/>
    </row>
    <row r="24" spans="1:12" customFormat="1">
      <c r="A24" s="3" t="s">
        <v>10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customFormat="1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customFormat="1">
      <c r="A26" s="7" t="s">
        <v>4</v>
      </c>
      <c r="B26" s="7" t="s">
        <v>2</v>
      </c>
      <c r="C26" s="7" t="s">
        <v>11</v>
      </c>
      <c r="D26" s="7" t="s">
        <v>12</v>
      </c>
      <c r="E26" s="2"/>
      <c r="F26" s="2"/>
      <c r="G26" s="2"/>
      <c r="H26" s="2"/>
      <c r="I26" s="2"/>
      <c r="J26" s="2"/>
      <c r="K26" s="2"/>
      <c r="L26" s="2"/>
    </row>
    <row r="27" spans="1:12" customFormat="1">
      <c r="A27" s="10">
        <v>2</v>
      </c>
      <c r="B27" s="11">
        <f>8-4.5*(A27-SIN(A27))</f>
        <v>3.0918384207155674</v>
      </c>
      <c r="C27" s="15">
        <f>-4.5*SIN(A27)</f>
        <v>-4.0918384207155674</v>
      </c>
      <c r="D27" s="8">
        <f>B27*C27</f>
        <v>-12.651303240528501</v>
      </c>
      <c r="E27" s="1" t="str">
        <f>IF(D27&gt;0, "&lt;--- Aqui", "")</f>
        <v/>
      </c>
      <c r="F27" s="2"/>
      <c r="G27" s="2"/>
      <c r="H27" s="2"/>
      <c r="I27" s="2"/>
      <c r="J27" s="2"/>
      <c r="K27" s="2"/>
      <c r="L27" s="2"/>
    </row>
    <row r="28" spans="1:12" customFormat="1">
      <c r="A28" s="10">
        <v>3</v>
      </c>
      <c r="B28" s="11">
        <f>8-4.5*(A28-SIN(A28))</f>
        <v>-4.8649599637305965</v>
      </c>
      <c r="C28" s="15">
        <f>-4.5*SIN(A28)</f>
        <v>-0.63504003626940242</v>
      </c>
      <c r="D28" s="8">
        <f>B28*C28</f>
        <v>3.0894443518166685</v>
      </c>
      <c r="E28" s="1" t="str">
        <f>IF(D28&gt;0, "&lt;--- Aqui", "")</f>
        <v>&lt;--- Aqui</v>
      </c>
      <c r="F28" s="2"/>
      <c r="G28" s="2"/>
      <c r="H28" s="2"/>
      <c r="I28" s="2"/>
      <c r="J28" s="2"/>
      <c r="K28" s="2"/>
      <c r="L28" s="2" t="str">
        <f t="shared" ref="L28:L34" si="1">IF(K28&lt;J28, "Fim!!!", " ")</f>
        <v xml:space="preserve"> </v>
      </c>
    </row>
    <row r="29" spans="1:12" customForma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 t="str">
        <f t="shared" si="1"/>
        <v xml:space="preserve"> </v>
      </c>
    </row>
    <row r="30" spans="1:12" customForma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 t="str">
        <f t="shared" si="1"/>
        <v xml:space="preserve"> </v>
      </c>
    </row>
    <row r="31" spans="1:12" customFormat="1">
      <c r="A31" s="2"/>
      <c r="B31" s="2"/>
      <c r="C31" s="2"/>
      <c r="D31" s="2"/>
      <c r="E31" s="2"/>
      <c r="F31" s="2"/>
      <c r="G31" s="2" t="s">
        <v>13</v>
      </c>
      <c r="H31" s="2"/>
      <c r="I31" s="2"/>
      <c r="J31" s="2"/>
      <c r="K31" s="2"/>
      <c r="L31" s="2" t="str">
        <f t="shared" si="1"/>
        <v xml:space="preserve"> </v>
      </c>
    </row>
    <row r="32" spans="1:12" customFormat="1">
      <c r="A32" s="7" t="s">
        <v>14</v>
      </c>
      <c r="B32" s="7" t="s">
        <v>15</v>
      </c>
      <c r="C32" s="7" t="s">
        <v>2</v>
      </c>
      <c r="D32" s="7" t="s">
        <v>16</v>
      </c>
      <c r="E32" s="7" t="s">
        <v>17</v>
      </c>
      <c r="F32" s="7" t="s">
        <v>18</v>
      </c>
      <c r="G32" s="7" t="s">
        <v>19</v>
      </c>
      <c r="H32" s="2"/>
      <c r="I32" s="2"/>
      <c r="J32" s="2"/>
      <c r="K32" s="2"/>
      <c r="L32" s="2" t="str">
        <f t="shared" si="1"/>
        <v xml:space="preserve"> </v>
      </c>
    </row>
    <row r="33" spans="1:12" customFormat="1">
      <c r="A33" s="8">
        <v>1</v>
      </c>
      <c r="B33" s="8">
        <v>3</v>
      </c>
      <c r="C33" s="9">
        <f>8-4.5*(B33-SIN(B33))</f>
        <v>-4.8649599637305965</v>
      </c>
      <c r="D33" s="8">
        <f>-4.5*(1-COS(B33))</f>
        <v>-8.9549662347020043</v>
      </c>
      <c r="E33" s="38">
        <f>B33-(C33/D33)</f>
        <v>2.4567305072711436</v>
      </c>
      <c r="F33" s="8">
        <f>$B$20</f>
        <v>1E-3</v>
      </c>
      <c r="G33" s="19">
        <f>ABS((E33-B33))</f>
        <v>0.54326949272885638</v>
      </c>
      <c r="H33" s="2" t="str">
        <f>IF(G33&lt;F33, " FIM!", "")</f>
        <v/>
      </c>
      <c r="I33" s="2"/>
      <c r="J33" s="2"/>
      <c r="K33" s="2"/>
      <c r="L33" s="2" t="str">
        <f t="shared" si="1"/>
        <v xml:space="preserve"> </v>
      </c>
    </row>
    <row r="34" spans="1:12" customFormat="1">
      <c r="A34" s="8">
        <v>2</v>
      </c>
      <c r="B34" s="15">
        <f>E33</f>
        <v>2.4567305072711436</v>
      </c>
      <c r="C34" s="9">
        <f>8-4.5*(B34-SIN(B34))</f>
        <v>-0.20873916227130707</v>
      </c>
      <c r="D34" s="8">
        <f>-4.5*(1-COS(B34))</f>
        <v>-7.9852781521665079</v>
      </c>
      <c r="E34" s="38">
        <f>B34-(C34/D34)</f>
        <v>2.4305900074296103</v>
      </c>
      <c r="F34" s="8">
        <f>$B$20</f>
        <v>1E-3</v>
      </c>
      <c r="G34" s="19">
        <f>ABS((E34-B34))</f>
        <v>2.6140499841533327E-2</v>
      </c>
      <c r="H34" s="2" t="str">
        <f>IF(G34&lt;F34, " FIM!", "")</f>
        <v/>
      </c>
      <c r="I34" s="2"/>
      <c r="J34" s="2"/>
      <c r="K34" s="2"/>
      <c r="L34" s="2" t="str">
        <f t="shared" si="1"/>
        <v xml:space="preserve"> </v>
      </c>
    </row>
    <row r="35" spans="1:12" customFormat="1">
      <c r="A35" s="8">
        <v>3</v>
      </c>
      <c r="B35" s="15">
        <f>E34</f>
        <v>2.4305900074296103</v>
      </c>
      <c r="C35" s="9">
        <f>8-4.5*(B35-SIN(B35))</f>
        <v>-9.8288000415536203E-4</v>
      </c>
      <c r="D35" s="8">
        <f>-4.5*(1-COS(B35))</f>
        <v>-7.9096857132695009</v>
      </c>
      <c r="E35" s="38">
        <f>B35-(C35/D35)</f>
        <v>2.4304657445903795</v>
      </c>
      <c r="F35" s="8">
        <f>$B$20</f>
        <v>1E-3</v>
      </c>
      <c r="G35" s="19">
        <f>ABS((E35-B35))</f>
        <v>1.2426283923083759E-4</v>
      </c>
      <c r="H35" s="2" t="str">
        <f>IF(G35&lt;F35, " FIM!", "")</f>
        <v xml:space="preserve"> FIM!</v>
      </c>
      <c r="I35" s="2"/>
      <c r="J35" s="2"/>
      <c r="K35" s="2"/>
      <c r="L35" s="2"/>
    </row>
    <row r="36" spans="1:12" customForma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customFormat="1">
      <c r="A37" s="2"/>
      <c r="B37" s="1" t="s">
        <v>20</v>
      </c>
      <c r="C37" s="39">
        <f>E35</f>
        <v>2.4304657445903795</v>
      </c>
      <c r="D37" s="2"/>
      <c r="E37" s="2"/>
      <c r="F37" s="2"/>
      <c r="G37" s="2"/>
      <c r="H37" s="2"/>
      <c r="I37" s="2"/>
      <c r="J37" s="2"/>
      <c r="K37" s="2"/>
      <c r="L37" s="2"/>
    </row>
  </sheetData>
  <conditionalFormatting sqref="D27:D28">
    <cfRule type="cellIs" dxfId="1" priority="1" stopIfTrue="1" operator="greaterThan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C8398-5899-41BA-9ABA-0F33F18713DA}">
  <dimension ref="A2:L39"/>
  <sheetViews>
    <sheetView tabSelected="1" zoomScaleNormal="100" workbookViewId="0">
      <selection activeCell="L18" sqref="L18"/>
    </sheetView>
  </sheetViews>
  <sheetFormatPr defaultRowHeight="15"/>
  <cols>
    <col min="1" max="1" width="6.28515625" customWidth="1"/>
    <col min="2" max="2" width="12.140625" customWidth="1"/>
    <col min="3" max="3" width="13.28515625" customWidth="1"/>
    <col min="4" max="4" width="10.140625" customWidth="1"/>
    <col min="5" max="5" width="10.85546875" customWidth="1"/>
    <col min="6" max="6" width="10.140625" customWidth="1"/>
    <col min="7" max="7" width="10.85546875" customWidth="1"/>
    <col min="8" max="9" width="14.5703125" customWidth="1"/>
    <col min="10" max="10" width="10" customWidth="1"/>
    <col min="11" max="11" width="12" customWidth="1"/>
    <col min="12" max="12" width="7.140625" customWidth="1"/>
  </cols>
  <sheetData>
    <row r="2" spans="1:3" ht="15.75">
      <c r="A2" s="1" t="s">
        <v>38</v>
      </c>
    </row>
    <row r="3" spans="1:3" ht="15.75">
      <c r="A3" s="1"/>
    </row>
    <row r="4" spans="1:3" ht="15.75">
      <c r="A4" s="4" t="s">
        <v>2</v>
      </c>
      <c r="B4" s="4" t="s">
        <v>34</v>
      </c>
      <c r="C4" s="40"/>
    </row>
    <row r="5" spans="1:3" ht="15.75">
      <c r="B5" s="6"/>
    </row>
    <row r="6" spans="1:3" ht="15.75">
      <c r="A6" s="7" t="s">
        <v>4</v>
      </c>
      <c r="B6" s="7" t="s">
        <v>2</v>
      </c>
    </row>
    <row r="7" spans="1:3" ht="15.75">
      <c r="A7" s="8">
        <v>-1</v>
      </c>
      <c r="B7" s="9">
        <f t="shared" ref="B7:B14" si="0">8-4.5*(A7-SIN(A7))</f>
        <v>8.7133805683644656</v>
      </c>
    </row>
    <row r="8" spans="1:3" ht="15.75">
      <c r="A8" s="8">
        <v>0</v>
      </c>
      <c r="B8" s="9">
        <f t="shared" si="0"/>
        <v>8</v>
      </c>
    </row>
    <row r="9" spans="1:3" ht="15.75">
      <c r="A9" s="8">
        <v>1</v>
      </c>
      <c r="B9" s="9">
        <f t="shared" si="0"/>
        <v>7.2866194316355344</v>
      </c>
    </row>
    <row r="10" spans="1:3" ht="15.75">
      <c r="A10" s="10">
        <v>2</v>
      </c>
      <c r="B10" s="11">
        <f t="shared" si="0"/>
        <v>3.0918384207155674</v>
      </c>
    </row>
    <row r="11" spans="1:3" ht="15.75">
      <c r="A11" s="10">
        <v>3</v>
      </c>
      <c r="B11" s="11">
        <f t="shared" si="0"/>
        <v>-4.8649599637305965</v>
      </c>
    </row>
    <row r="12" spans="1:3" ht="15.75">
      <c r="A12" s="8">
        <v>4</v>
      </c>
      <c r="B12" s="9">
        <f t="shared" si="0"/>
        <v>-13.405611228885679</v>
      </c>
    </row>
    <row r="13" spans="1:3" ht="15.75">
      <c r="A13" s="8">
        <v>5</v>
      </c>
      <c r="B13" s="9">
        <f t="shared" si="0"/>
        <v>-18.815159235984122</v>
      </c>
    </row>
    <row r="14" spans="1:3" ht="15.75">
      <c r="A14" s="8">
        <v>6</v>
      </c>
      <c r="B14" s="9">
        <f t="shared" si="0"/>
        <v>-20.257369741895168</v>
      </c>
    </row>
    <row r="15" spans="1:3" ht="15.75">
      <c r="A15" s="8"/>
      <c r="B15" s="9"/>
    </row>
    <row r="16" spans="1:3" ht="15.75">
      <c r="A16" s="8"/>
      <c r="B16" s="9"/>
    </row>
    <row r="17" spans="1:12" ht="15.75">
      <c r="A17" s="8"/>
      <c r="B17" s="9"/>
    </row>
    <row r="18" spans="1:12" ht="15.75">
      <c r="A18" s="8"/>
      <c r="B18" s="9"/>
    </row>
    <row r="19" spans="1:12" ht="15.75">
      <c r="A19" s="8"/>
      <c r="B19" s="9"/>
    </row>
    <row r="20" spans="1:12">
      <c r="A20" s="41" t="s">
        <v>5</v>
      </c>
      <c r="B20" s="41">
        <v>1E-3</v>
      </c>
    </row>
    <row r="21" spans="1:12" ht="15.75">
      <c r="A21" s="23"/>
      <c r="B21" s="30"/>
      <c r="C21" s="42"/>
    </row>
    <row r="22" spans="1:12" ht="15.75">
      <c r="A22" s="23"/>
      <c r="B22" s="30"/>
      <c r="C22" s="42"/>
    </row>
    <row r="23" spans="1:12">
      <c r="A23" s="43" t="s">
        <v>39</v>
      </c>
      <c r="C23" s="44">
        <f xml:space="preserve"> (LOG10(C27-B27)-LOG10(J27))/LOG10(2)</f>
        <v>9.965784284662087</v>
      </c>
    </row>
    <row r="26" spans="1:12" ht="15.75">
      <c r="A26" s="7" t="s">
        <v>14</v>
      </c>
      <c r="B26" s="7" t="s">
        <v>40</v>
      </c>
      <c r="C26" s="7" t="s">
        <v>41</v>
      </c>
      <c r="D26" s="7" t="s">
        <v>42</v>
      </c>
      <c r="E26" s="7" t="s">
        <v>43</v>
      </c>
      <c r="F26" s="7" t="s">
        <v>44</v>
      </c>
      <c r="G26" s="7" t="s">
        <v>45</v>
      </c>
      <c r="H26" s="7" t="s">
        <v>46</v>
      </c>
      <c r="I26" s="7" t="s">
        <v>47</v>
      </c>
      <c r="J26" s="7" t="s">
        <v>18</v>
      </c>
      <c r="K26" s="7" t="s">
        <v>19</v>
      </c>
      <c r="L26" s="2"/>
    </row>
    <row r="27" spans="1:12" ht="15.75">
      <c r="A27" s="8">
        <v>1</v>
      </c>
      <c r="B27" s="38">
        <v>2</v>
      </c>
      <c r="C27" s="38">
        <v>3</v>
      </c>
      <c r="D27" s="8">
        <f t="shared" ref="D27:D36" si="1">(B27+C27)/2</f>
        <v>2.5</v>
      </c>
      <c r="E27" s="9">
        <f t="shared" ref="E27:E36" si="2">8-4.5*(D27-SIN(D27))</f>
        <v>-0.55687535153219514</v>
      </c>
      <c r="F27" s="9">
        <f t="shared" ref="F27:G36" si="3">8-4.5*(B27-SIN(B27))</f>
        <v>3.0918384207155674</v>
      </c>
      <c r="G27" s="9">
        <f t="shared" si="3"/>
        <v>-4.8649599637305965</v>
      </c>
      <c r="H27" s="17">
        <f t="shared" ref="H27:H36" si="4">F27*E27</f>
        <v>-1.7217686074167287</v>
      </c>
      <c r="I27" s="17">
        <f t="shared" ref="I27:I36" si="5">G27*E27</f>
        <v>2.7091762899925311</v>
      </c>
      <c r="J27" s="8">
        <f t="shared" ref="J27:J36" si="6">$B$20</f>
        <v>1E-3</v>
      </c>
      <c r="K27" s="19">
        <f t="shared" ref="K27:K36" si="7">ABS((B27-C27)/2)</f>
        <v>0.5</v>
      </c>
      <c r="L27" s="2" t="str">
        <f t="shared" ref="L27:L36" si="8">IF(K27&lt;J27, "Fim!!!", " ")</f>
        <v xml:space="preserve"> </v>
      </c>
    </row>
    <row r="28" spans="1:12" ht="15.75">
      <c r="A28" s="8">
        <v>2</v>
      </c>
      <c r="B28" s="38">
        <v>2</v>
      </c>
      <c r="C28" s="38">
        <v>2.5</v>
      </c>
      <c r="D28" s="8">
        <f t="shared" si="1"/>
        <v>2.25</v>
      </c>
      <c r="E28" s="9">
        <f t="shared" si="2"/>
        <v>1.3763293859956445</v>
      </c>
      <c r="F28" s="9">
        <f t="shared" si="3"/>
        <v>3.0918384207155674</v>
      </c>
      <c r="G28" s="9">
        <f t="shared" si="3"/>
        <v>-0.55687535153219514</v>
      </c>
      <c r="H28" s="17">
        <f t="shared" si="4"/>
        <v>4.2553880751811999</v>
      </c>
      <c r="I28" s="17">
        <f t="shared" si="5"/>
        <v>-0.76644391065041484</v>
      </c>
      <c r="J28" s="8">
        <f t="shared" si="6"/>
        <v>1E-3</v>
      </c>
      <c r="K28" s="19">
        <f t="shared" si="7"/>
        <v>0.25</v>
      </c>
      <c r="L28" s="2" t="str">
        <f t="shared" si="8"/>
        <v xml:space="preserve"> </v>
      </c>
    </row>
    <row r="29" spans="1:12" ht="15.75">
      <c r="A29" s="8">
        <v>3</v>
      </c>
      <c r="B29" s="38">
        <v>2.25</v>
      </c>
      <c r="C29" s="38">
        <v>2.5</v>
      </c>
      <c r="D29" s="8">
        <f t="shared" si="1"/>
        <v>2.375</v>
      </c>
      <c r="E29" s="9">
        <f t="shared" si="2"/>
        <v>0.43408264378972383</v>
      </c>
      <c r="F29" s="9">
        <f t="shared" si="3"/>
        <v>1.3763293859956445</v>
      </c>
      <c r="G29" s="9">
        <f t="shared" si="3"/>
        <v>-0.55687535153219514</v>
      </c>
      <c r="H29" s="17">
        <f t="shared" si="4"/>
        <v>0.5974406985984767</v>
      </c>
      <c r="I29" s="17">
        <f t="shared" si="5"/>
        <v>-0.2417299248544271</v>
      </c>
      <c r="J29" s="8">
        <f t="shared" si="6"/>
        <v>1E-3</v>
      </c>
      <c r="K29" s="19">
        <f t="shared" si="7"/>
        <v>0.125</v>
      </c>
      <c r="L29" s="2" t="str">
        <f t="shared" si="8"/>
        <v xml:space="preserve"> </v>
      </c>
    </row>
    <row r="30" spans="1:12" ht="15.75">
      <c r="A30" s="8">
        <v>4</v>
      </c>
      <c r="B30" s="38">
        <v>2.375</v>
      </c>
      <c r="C30" s="38">
        <v>2.5</v>
      </c>
      <c r="D30" s="8">
        <f t="shared" si="1"/>
        <v>2.4375</v>
      </c>
      <c r="E30" s="9">
        <f t="shared" si="2"/>
        <v>-5.5708671847851221E-2</v>
      </c>
      <c r="F30" s="9">
        <f t="shared" si="3"/>
        <v>0.43408264378972383</v>
      </c>
      <c r="G30" s="9">
        <f t="shared" si="3"/>
        <v>-0.55687535153219514</v>
      </c>
      <c r="H30" s="17">
        <f t="shared" si="4"/>
        <v>-2.4182167557729419E-2</v>
      </c>
      <c r="I30" s="17">
        <f t="shared" si="5"/>
        <v>3.1022786218663851E-2</v>
      </c>
      <c r="J30" s="8">
        <f t="shared" si="6"/>
        <v>1E-3</v>
      </c>
      <c r="K30" s="19">
        <f t="shared" si="7"/>
        <v>6.25E-2</v>
      </c>
      <c r="L30" s="2" t="str">
        <f t="shared" si="8"/>
        <v xml:space="preserve"> </v>
      </c>
    </row>
    <row r="31" spans="1:12" ht="15.75">
      <c r="A31" s="8">
        <v>5</v>
      </c>
      <c r="B31" s="38">
        <v>2.375</v>
      </c>
      <c r="C31" s="38">
        <v>2.4375</v>
      </c>
      <c r="D31" s="8">
        <f t="shared" si="1"/>
        <v>2.40625</v>
      </c>
      <c r="E31" s="9">
        <f t="shared" si="2"/>
        <v>0.19066088256328761</v>
      </c>
      <c r="F31" s="9">
        <f t="shared" si="3"/>
        <v>0.43408264378972383</v>
      </c>
      <c r="G31" s="9">
        <f t="shared" si="3"/>
        <v>-5.5708671847851221E-2</v>
      </c>
      <c r="H31" s="17">
        <f t="shared" si="4"/>
        <v>8.2762579970353939E-2</v>
      </c>
      <c r="I31" s="17">
        <f t="shared" si="5"/>
        <v>-1.0621464540939889E-2</v>
      </c>
      <c r="J31" s="8">
        <f t="shared" si="6"/>
        <v>1E-3</v>
      </c>
      <c r="K31" s="19">
        <f t="shared" si="7"/>
        <v>3.125E-2</v>
      </c>
      <c r="L31" s="2" t="str">
        <f t="shared" si="8"/>
        <v xml:space="preserve"> </v>
      </c>
    </row>
    <row r="32" spans="1:12" ht="15.75">
      <c r="A32" s="8">
        <v>6</v>
      </c>
      <c r="B32" s="38">
        <v>2.40625</v>
      </c>
      <c r="C32" s="38">
        <v>2.4375</v>
      </c>
      <c r="D32" s="8">
        <f t="shared" si="1"/>
        <v>2.421875</v>
      </c>
      <c r="E32" s="9">
        <f t="shared" si="2"/>
        <v>6.7838192191659985E-2</v>
      </c>
      <c r="F32" s="9">
        <f t="shared" si="3"/>
        <v>0.19066088256328761</v>
      </c>
      <c r="G32" s="9">
        <f t="shared" si="3"/>
        <v>-5.5708671847851221E-2</v>
      </c>
      <c r="H32" s="17">
        <f t="shared" si="4"/>
        <v>1.2934089594759819E-2</v>
      </c>
      <c r="I32" s="17">
        <f t="shared" si="5"/>
        <v>-3.7791755875566492E-3</v>
      </c>
      <c r="J32" s="8">
        <f t="shared" si="6"/>
        <v>1E-3</v>
      </c>
      <c r="K32" s="19">
        <f t="shared" si="7"/>
        <v>1.5625E-2</v>
      </c>
      <c r="L32" s="2" t="str">
        <f t="shared" si="8"/>
        <v xml:space="preserve"> </v>
      </c>
    </row>
    <row r="33" spans="1:12" ht="15.75">
      <c r="A33" s="8">
        <v>7</v>
      </c>
      <c r="B33" s="38">
        <v>2.421875</v>
      </c>
      <c r="C33" s="38">
        <v>2.4375</v>
      </c>
      <c r="D33" s="8">
        <f t="shared" si="1"/>
        <v>2.4296875</v>
      </c>
      <c r="E33" s="9">
        <f t="shared" si="2"/>
        <v>6.1544737116818737E-3</v>
      </c>
      <c r="F33" s="9">
        <f t="shared" si="3"/>
        <v>6.7838192191659985E-2</v>
      </c>
      <c r="G33" s="9">
        <f t="shared" si="3"/>
        <v>-5.5708671847851221E-2</v>
      </c>
      <c r="H33" s="17">
        <f t="shared" si="4"/>
        <v>4.1750837049159392E-4</v>
      </c>
      <c r="I33" s="17">
        <f t="shared" si="5"/>
        <v>-3.4285755640031239E-4</v>
      </c>
      <c r="J33" s="8">
        <f t="shared" si="6"/>
        <v>1E-3</v>
      </c>
      <c r="K33" s="19">
        <f t="shared" si="7"/>
        <v>7.8125E-3</v>
      </c>
      <c r="L33" s="2" t="str">
        <f t="shared" si="8"/>
        <v xml:space="preserve"> </v>
      </c>
    </row>
    <row r="34" spans="1:12" ht="15.75">
      <c r="A34" s="8">
        <v>8</v>
      </c>
      <c r="B34" s="38">
        <v>2.4296875</v>
      </c>
      <c r="C34" s="38">
        <v>2.4375</v>
      </c>
      <c r="D34" s="8">
        <f t="shared" si="1"/>
        <v>2.43359375</v>
      </c>
      <c r="E34" s="9">
        <f t="shared" si="2"/>
        <v>-2.4754772305835004E-2</v>
      </c>
      <c r="F34" s="9">
        <f t="shared" si="3"/>
        <v>6.1544737116818737E-3</v>
      </c>
      <c r="G34" s="9">
        <f t="shared" si="3"/>
        <v>-5.5708671847851221E-2</v>
      </c>
      <c r="H34" s="17">
        <f t="shared" si="4"/>
        <v>-1.5235259539493203E-4</v>
      </c>
      <c r="I34" s="17">
        <f t="shared" si="5"/>
        <v>1.3790554870540376E-3</v>
      </c>
      <c r="J34" s="8">
        <f t="shared" si="6"/>
        <v>1E-3</v>
      </c>
      <c r="K34" s="19">
        <f t="shared" si="7"/>
        <v>3.90625E-3</v>
      </c>
      <c r="L34" s="2" t="str">
        <f t="shared" si="8"/>
        <v xml:space="preserve"> </v>
      </c>
    </row>
    <row r="35" spans="1:12" ht="15.75">
      <c r="A35" s="8">
        <v>9</v>
      </c>
      <c r="B35" s="38">
        <v>2.4296875</v>
      </c>
      <c r="C35" s="38">
        <v>2.43359375</v>
      </c>
      <c r="D35" s="8">
        <f t="shared" si="1"/>
        <v>2.431640625</v>
      </c>
      <c r="E35" s="9">
        <f t="shared" si="2"/>
        <v>-9.2945548769769459E-3</v>
      </c>
      <c r="F35" s="9">
        <f t="shared" si="3"/>
        <v>6.1544737116818737E-3</v>
      </c>
      <c r="G35" s="9">
        <f t="shared" si="3"/>
        <v>-2.4754772305835004E-2</v>
      </c>
      <c r="H35" s="17">
        <f t="shared" si="4"/>
        <v>-5.7203093652139166E-5</v>
      </c>
      <c r="I35" s="17">
        <f t="shared" si="5"/>
        <v>2.3008458966365257E-4</v>
      </c>
      <c r="J35" s="8">
        <f t="shared" si="6"/>
        <v>1E-3</v>
      </c>
      <c r="K35" s="19">
        <f t="shared" si="7"/>
        <v>1.953125E-3</v>
      </c>
      <c r="L35" s="2" t="str">
        <f t="shared" si="8"/>
        <v xml:space="preserve"> </v>
      </c>
    </row>
    <row r="36" spans="1:12" ht="15.75">
      <c r="A36" s="8">
        <v>10</v>
      </c>
      <c r="B36" s="38">
        <v>2.4296875</v>
      </c>
      <c r="C36" s="38">
        <v>2.431640625</v>
      </c>
      <c r="D36" s="8">
        <f t="shared" si="1"/>
        <v>2.4306640625</v>
      </c>
      <c r="E36" s="9">
        <f t="shared" si="2"/>
        <v>-1.5686403887613665E-3</v>
      </c>
      <c r="F36" s="9">
        <f t="shared" si="3"/>
        <v>6.1544737116818737E-3</v>
      </c>
      <c r="G36" s="9">
        <f t="shared" si="3"/>
        <v>-9.2945548769769459E-3</v>
      </c>
      <c r="H36" s="17">
        <f t="shared" si="4"/>
        <v>-9.6541560357142645E-6</v>
      </c>
      <c r="I36" s="17">
        <f t="shared" si="5"/>
        <v>1.4579814175584972E-5</v>
      </c>
      <c r="J36" s="8">
        <f t="shared" si="6"/>
        <v>1E-3</v>
      </c>
      <c r="K36" s="19">
        <f t="shared" si="7"/>
        <v>9.765625E-4</v>
      </c>
      <c r="L36" s="2" t="str">
        <f t="shared" si="8"/>
        <v>Fim!!!</v>
      </c>
    </row>
    <row r="39" spans="1:12">
      <c r="B39" s="43" t="s">
        <v>20</v>
      </c>
      <c r="C39" s="45">
        <f>D36</f>
        <v>2.4306640625</v>
      </c>
    </row>
  </sheetData>
  <conditionalFormatting sqref="H27:I36">
    <cfRule type="cellIs" dxfId="0" priority="1" stopIfTrue="1" operator="lessThan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Ex_1</vt:lpstr>
      <vt:lpstr>Ex_2</vt:lpstr>
      <vt:lpstr>Ex_3</vt:lpstr>
      <vt:lpstr>Ex_4</vt:lpstr>
      <vt:lpstr>Ex_5</vt:lpstr>
      <vt:lpstr>Ex_5_bissecao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T-Gamer</dc:creator>
  <cp:lastModifiedBy>Lucas Bertinetti</cp:lastModifiedBy>
  <dcterms:created xsi:type="dcterms:W3CDTF">2015-06-05T18:19:34Z</dcterms:created>
  <dcterms:modified xsi:type="dcterms:W3CDTF">2024-09-07T19:04:22Z</dcterms:modified>
</cp:coreProperties>
</file>