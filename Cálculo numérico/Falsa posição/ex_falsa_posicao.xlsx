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083b9f244c77dc93/Biblioteca/Prof. Substituto - DEC/Disciplinas/DEC7142 Cálculo Numérico em Computadores/Material/Unidade 2/"/>
    </mc:Choice>
  </mc:AlternateContent>
  <xr:revisionPtr revIDLastSave="11" documentId="11_AD4D361C20488DEA4E38A0CB8C1B51665BDEDD8C" xr6:coauthVersionLast="47" xr6:coauthVersionMax="47" xr10:uidLastSave="{CADE51DA-7014-4120-BF2E-CF002A14022F}"/>
  <bookViews>
    <workbookView xWindow="-108" yWindow="-108" windowWidth="23256" windowHeight="12456" activeTab="1" xr2:uid="{00000000-000D-0000-FFFF-FFFF00000000}"/>
  </bookViews>
  <sheets>
    <sheet name="Ex_3" sheetId="1" r:id="rId1"/>
    <sheet name="Ex_4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2" l="1"/>
  <c r="G56" i="2"/>
  <c r="F56" i="2"/>
  <c r="D56" i="2"/>
  <c r="C58" i="2" s="1"/>
  <c r="J55" i="2"/>
  <c r="G55" i="2"/>
  <c r="F55" i="2"/>
  <c r="J54" i="2"/>
  <c r="G54" i="2"/>
  <c r="D54" i="2" s="1"/>
  <c r="E54" i="2" s="1"/>
  <c r="F54" i="2"/>
  <c r="J53" i="2"/>
  <c r="G53" i="2"/>
  <c r="D53" i="2" s="1"/>
  <c r="E53" i="2" s="1"/>
  <c r="K53" i="2" s="1"/>
  <c r="L53" i="2" s="1"/>
  <c r="F53" i="2"/>
  <c r="J52" i="2"/>
  <c r="G52" i="2"/>
  <c r="F52" i="2"/>
  <c r="D52" i="2"/>
  <c r="E52" i="2" s="1"/>
  <c r="J51" i="2"/>
  <c r="G51" i="2"/>
  <c r="F51" i="2"/>
  <c r="J50" i="2"/>
  <c r="G50" i="2"/>
  <c r="D50" i="2" s="1"/>
  <c r="E50" i="2" s="1"/>
  <c r="F50" i="2"/>
  <c r="J49" i="2"/>
  <c r="G49" i="2"/>
  <c r="D49" i="2" s="1"/>
  <c r="E49" i="2" s="1"/>
  <c r="K49" i="2" s="1"/>
  <c r="L49" i="2" s="1"/>
  <c r="F49" i="2"/>
  <c r="A46" i="2"/>
  <c r="J42" i="2"/>
  <c r="G42" i="2"/>
  <c r="F42" i="2"/>
  <c r="D42" i="2"/>
  <c r="E42" i="2" s="1"/>
  <c r="J41" i="2"/>
  <c r="G41" i="2"/>
  <c r="F41" i="2"/>
  <c r="J40" i="2"/>
  <c r="G40" i="2"/>
  <c r="F40" i="2"/>
  <c r="H40" i="2" s="1"/>
  <c r="D40" i="2"/>
  <c r="E40" i="2" s="1"/>
  <c r="J39" i="2"/>
  <c r="G39" i="2"/>
  <c r="D39" i="2" s="1"/>
  <c r="E39" i="2" s="1"/>
  <c r="K39" i="2" s="1"/>
  <c r="L39" i="2" s="1"/>
  <c r="F39" i="2"/>
  <c r="H39" i="2" s="1"/>
  <c r="A36" i="2"/>
  <c r="J32" i="2"/>
  <c r="G32" i="2"/>
  <c r="D32" i="2" s="1"/>
  <c r="F32" i="2"/>
  <c r="J31" i="2"/>
  <c r="G31" i="2"/>
  <c r="F31" i="2"/>
  <c r="D31" i="2"/>
  <c r="E31" i="2" s="1"/>
  <c r="J30" i="2"/>
  <c r="G30" i="2"/>
  <c r="D30" i="2" s="1"/>
  <c r="E30" i="2" s="1"/>
  <c r="F30" i="2"/>
  <c r="J29" i="2"/>
  <c r="G29" i="2"/>
  <c r="D29" i="2" s="1"/>
  <c r="E29" i="2" s="1"/>
  <c r="F29" i="2"/>
  <c r="J28" i="2"/>
  <c r="G28" i="2"/>
  <c r="D28" i="2" s="1"/>
  <c r="E28" i="2" s="1"/>
  <c r="K28" i="2" s="1"/>
  <c r="L28" i="2" s="1"/>
  <c r="F28" i="2"/>
  <c r="A25" i="2"/>
  <c r="B16" i="2"/>
  <c r="B15" i="2"/>
  <c r="B14" i="2"/>
  <c r="B13" i="2"/>
  <c r="B12" i="2"/>
  <c r="B11" i="2"/>
  <c r="B10" i="2"/>
  <c r="B9" i="2"/>
  <c r="B8" i="2"/>
  <c r="B7" i="2"/>
  <c r="B6" i="2"/>
  <c r="J56" i="1"/>
  <c r="J55" i="1"/>
  <c r="J54" i="1"/>
  <c r="J53" i="1"/>
  <c r="J52" i="1"/>
  <c r="E52" i="1"/>
  <c r="F52" i="1" s="1"/>
  <c r="G52" i="1" s="1"/>
  <c r="D52" i="1"/>
  <c r="L45" i="1"/>
  <c r="L44" i="1"/>
  <c r="J43" i="1"/>
  <c r="E43" i="1"/>
  <c r="D43" i="1"/>
  <c r="J42" i="1"/>
  <c r="F42" i="1"/>
  <c r="G42" i="1" s="1"/>
  <c r="E42" i="1"/>
  <c r="D42" i="1"/>
  <c r="J41" i="1"/>
  <c r="F41" i="1"/>
  <c r="G41" i="1" s="1"/>
  <c r="E41" i="1"/>
  <c r="D41" i="1"/>
  <c r="H41" i="1" s="1"/>
  <c r="J34" i="1"/>
  <c r="J33" i="1"/>
  <c r="J32" i="1"/>
  <c r="J31" i="1"/>
  <c r="B31" i="1"/>
  <c r="B32" i="1" s="1"/>
  <c r="J30" i="1"/>
  <c r="B30" i="1"/>
  <c r="D30" i="1" s="1"/>
  <c r="J29" i="1"/>
  <c r="B29" i="1"/>
  <c r="J28" i="1"/>
  <c r="E28" i="1"/>
  <c r="F28" i="1" s="1"/>
  <c r="D28" i="1"/>
  <c r="B16" i="1"/>
  <c r="B15" i="1"/>
  <c r="B14" i="1"/>
  <c r="B13" i="1"/>
  <c r="B12" i="1"/>
  <c r="B11" i="1"/>
  <c r="B10" i="1"/>
  <c r="B9" i="1"/>
  <c r="B8" i="1"/>
  <c r="B7" i="1"/>
  <c r="B6" i="1"/>
  <c r="H28" i="2" l="1"/>
  <c r="I54" i="2"/>
  <c r="K54" i="2"/>
  <c r="L54" i="2" s="1"/>
  <c r="H54" i="2"/>
  <c r="K42" i="2"/>
  <c r="L42" i="2" s="1"/>
  <c r="I42" i="2"/>
  <c r="H52" i="2"/>
  <c r="K52" i="2"/>
  <c r="L52" i="2" s="1"/>
  <c r="I52" i="2"/>
  <c r="I50" i="2"/>
  <c r="K50" i="2"/>
  <c r="L50" i="2" s="1"/>
  <c r="H50" i="2"/>
  <c r="E32" i="2"/>
  <c r="K32" i="2" s="1"/>
  <c r="L32" i="2" s="1"/>
  <c r="C34" i="2"/>
  <c r="I29" i="2"/>
  <c r="H29" i="2"/>
  <c r="K29" i="2"/>
  <c r="L29" i="2" s="1"/>
  <c r="H42" i="2"/>
  <c r="H30" i="2"/>
  <c r="I30" i="2"/>
  <c r="K30" i="2"/>
  <c r="L30" i="2" s="1"/>
  <c r="I40" i="2"/>
  <c r="K40" i="2"/>
  <c r="L40" i="2" s="1"/>
  <c r="H49" i="2"/>
  <c r="K31" i="2"/>
  <c r="L31" i="2" s="1"/>
  <c r="I31" i="2"/>
  <c r="H31" i="2"/>
  <c r="H53" i="2"/>
  <c r="I39" i="2"/>
  <c r="E56" i="2"/>
  <c r="I28" i="2"/>
  <c r="D41" i="2"/>
  <c r="E41" i="2" s="1"/>
  <c r="K41" i="2" s="1"/>
  <c r="L41" i="2" s="1"/>
  <c r="I49" i="2"/>
  <c r="I53" i="2"/>
  <c r="D51" i="2"/>
  <c r="E51" i="2" s="1"/>
  <c r="K51" i="2" s="1"/>
  <c r="L51" i="2" s="1"/>
  <c r="D55" i="2"/>
  <c r="E55" i="2" s="1"/>
  <c r="K55" i="2" s="1"/>
  <c r="L55" i="2" s="1"/>
  <c r="B33" i="1"/>
  <c r="D32" i="1"/>
  <c r="G28" i="1"/>
  <c r="C29" i="1"/>
  <c r="E29" i="1" s="1"/>
  <c r="I41" i="1"/>
  <c r="K41" i="1"/>
  <c r="L41" i="1" s="1"/>
  <c r="F29" i="1"/>
  <c r="I52" i="1"/>
  <c r="C53" i="1" s="1"/>
  <c r="E53" i="1" s="1"/>
  <c r="H52" i="1"/>
  <c r="B53" i="1" s="1"/>
  <c r="K52" i="1"/>
  <c r="L52" i="1" s="1"/>
  <c r="H42" i="1"/>
  <c r="K42" i="1"/>
  <c r="L42" i="1" s="1"/>
  <c r="I42" i="1"/>
  <c r="D29" i="1"/>
  <c r="D31" i="1"/>
  <c r="F43" i="1"/>
  <c r="I55" i="2" l="1"/>
  <c r="H55" i="2"/>
  <c r="I51" i="2"/>
  <c r="I32" i="2"/>
  <c r="H51" i="2"/>
  <c r="I41" i="2"/>
  <c r="H32" i="2"/>
  <c r="H56" i="2"/>
  <c r="K56" i="2"/>
  <c r="L56" i="2" s="1"/>
  <c r="I56" i="2"/>
  <c r="H41" i="2"/>
  <c r="F53" i="1"/>
  <c r="G53" i="1" s="1"/>
  <c r="K53" i="1" s="1"/>
  <c r="L53" i="1" s="1"/>
  <c r="D53" i="1"/>
  <c r="G43" i="1"/>
  <c r="E47" i="1"/>
  <c r="E48" i="1" s="1"/>
  <c r="C30" i="1"/>
  <c r="E30" i="1" s="1"/>
  <c r="G29" i="1"/>
  <c r="K29" i="1" s="1"/>
  <c r="L29" i="1" s="1"/>
  <c r="H29" i="1"/>
  <c r="I28" i="1"/>
  <c r="H28" i="1"/>
  <c r="K28" i="1"/>
  <c r="L28" i="1" s="1"/>
  <c r="B34" i="1"/>
  <c r="D33" i="1"/>
  <c r="I53" i="1" l="1"/>
  <c r="C54" i="1" s="1"/>
  <c r="E54" i="1" s="1"/>
  <c r="K43" i="1"/>
  <c r="L43" i="1" s="1"/>
  <c r="I43" i="1"/>
  <c r="H43" i="1"/>
  <c r="F30" i="1"/>
  <c r="D34" i="1"/>
  <c r="I29" i="1"/>
  <c r="H53" i="1"/>
  <c r="B54" i="1" s="1"/>
  <c r="F54" i="1" l="1"/>
  <c r="G54" i="1" s="1"/>
  <c r="K54" i="1" s="1"/>
  <c r="L54" i="1" s="1"/>
  <c r="D54" i="1"/>
  <c r="G30" i="1"/>
  <c r="C31" i="1"/>
  <c r="E31" i="1" s="1"/>
  <c r="F31" i="1" l="1"/>
  <c r="I54" i="1"/>
  <c r="C55" i="1" s="1"/>
  <c r="E55" i="1" s="1"/>
  <c r="K30" i="1"/>
  <c r="L30" i="1" s="1"/>
  <c r="H30" i="1"/>
  <c r="I30" i="1"/>
  <c r="H54" i="1"/>
  <c r="B55" i="1" s="1"/>
  <c r="D55" i="1" l="1"/>
  <c r="F55" i="1" s="1"/>
  <c r="G55" i="1" s="1"/>
  <c r="C32" i="1"/>
  <c r="E32" i="1" s="1"/>
  <c r="G31" i="1"/>
  <c r="K55" i="1" l="1"/>
  <c r="L55" i="1" s="1"/>
  <c r="I55" i="1"/>
  <c r="C56" i="1" s="1"/>
  <c r="E56" i="1" s="1"/>
  <c r="F32" i="1"/>
  <c r="K31" i="1"/>
  <c r="L31" i="1" s="1"/>
  <c r="H31" i="1"/>
  <c r="I31" i="1"/>
  <c r="H55" i="1"/>
  <c r="B56" i="1" s="1"/>
  <c r="F56" i="1" l="1"/>
  <c r="D56" i="1"/>
  <c r="C33" i="1"/>
  <c r="E33" i="1" s="1"/>
  <c r="G32" i="1"/>
  <c r="K32" i="1" l="1"/>
  <c r="L32" i="1" s="1"/>
  <c r="H32" i="1"/>
  <c r="I32" i="1"/>
  <c r="F33" i="1"/>
  <c r="E58" i="1"/>
  <c r="E59" i="1" s="1"/>
  <c r="G56" i="1"/>
  <c r="K56" i="1" l="1"/>
  <c r="L56" i="1" s="1"/>
  <c r="I56" i="1"/>
  <c r="H56" i="1"/>
  <c r="C34" i="1"/>
  <c r="E34" i="1" s="1"/>
  <c r="G33" i="1"/>
  <c r="K33" i="1" l="1"/>
  <c r="L33" i="1" s="1"/>
  <c r="H33" i="1"/>
  <c r="I33" i="1"/>
  <c r="F34" i="1"/>
  <c r="E36" i="1" l="1"/>
  <c r="E37" i="1" s="1"/>
  <c r="G34" i="1"/>
  <c r="K34" i="1" l="1"/>
  <c r="L34" i="1" s="1"/>
  <c r="H34" i="1"/>
  <c r="I34" i="1"/>
</calcChain>
</file>

<file path=xl/sharedStrings.xml><?xml version="1.0" encoding="utf-8"?>
<sst xmlns="http://schemas.openxmlformats.org/spreadsheetml/2006/main" count="101" uniqueCount="25">
  <si>
    <t>Exemplo 3 – Falsa posição</t>
  </si>
  <si>
    <t>f(x)=</t>
  </si>
  <si>
    <r>
      <t>x</t>
    </r>
    <r>
      <rPr>
        <vertAlign val="superscript"/>
        <sz val="11"/>
        <color theme="1"/>
        <rFont val="Liberation Sans"/>
      </rPr>
      <t>3</t>
    </r>
    <r>
      <rPr>
        <b/>
        <sz val="12"/>
        <color theme="1"/>
        <rFont val="Liberation Sans"/>
      </rPr>
      <t xml:space="preserve"> – 9*x + 3</t>
    </r>
  </si>
  <si>
    <t>x</t>
  </si>
  <si>
    <t>f(x)</t>
  </si>
  <si>
    <t>e</t>
  </si>
  <si>
    <t>[A, x_ns]</t>
  </si>
  <si>
    <t>[x_ns, B]</t>
  </si>
  <si>
    <t>f(x_ns)</t>
  </si>
  <si>
    <t>N</t>
  </si>
  <si>
    <t>A</t>
  </si>
  <si>
    <t>B</t>
  </si>
  <si>
    <t>f(A)</t>
  </si>
  <si>
    <t>f(B)</t>
  </si>
  <si>
    <t>x_ns</t>
  </si>
  <si>
    <t>f(A)*f(x_ns)</t>
  </si>
  <si>
    <t>f(x_ns)*f(B)</t>
  </si>
  <si>
    <t>E_ideal</t>
  </si>
  <si>
    <t>E</t>
  </si>
  <si>
    <t>Analise</t>
  </si>
  <si>
    <t>Solução:</t>
  </si>
  <si>
    <t>x=</t>
  </si>
  <si>
    <t>Exemplo 4 – Falsa posição</t>
  </si>
  <si>
    <r>
      <t>x</t>
    </r>
    <r>
      <rPr>
        <vertAlign val="superscript"/>
        <sz val="11"/>
        <color theme="1"/>
        <rFont val="Liberation Sans"/>
      </rPr>
      <t>4</t>
    </r>
    <r>
      <rPr>
        <b/>
        <sz val="12"/>
        <color theme="1"/>
        <rFont val="Liberation Sans"/>
      </rPr>
      <t xml:space="preserve"> – 26*x</t>
    </r>
    <r>
      <rPr>
        <vertAlign val="superscript"/>
        <sz val="11"/>
        <color theme="1"/>
        <rFont val="Liberation Sans"/>
      </rPr>
      <t>2</t>
    </r>
    <r>
      <rPr>
        <b/>
        <sz val="12"/>
        <color theme="1"/>
        <rFont val="Liberation Sans"/>
      </rPr>
      <t xml:space="preserve"> + 24x + 21</t>
    </r>
  </si>
  <si>
    <t>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</si>
</sst>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>
    <font>
      <sz val="11"/>
      <color theme="1"/>
      <name val="Calibri"/>
      <family val="2"/>
      <scheme val="minor"/>
    </font>
    <font>
      <b/>
      <sz val="12"/>
      <color theme="1"/>
      <name val="Liberation Sans"/>
    </font>
    <font>
      <sz val="12"/>
      <color theme="1"/>
      <name val="Liberation Sans"/>
    </font>
    <font>
      <vertAlign val="superscript"/>
      <sz val="11"/>
      <color theme="1"/>
      <name val="Liberation Sans"/>
    </font>
    <font>
      <b/>
      <sz val="11"/>
      <color theme="1"/>
      <name val="Liberation Sans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DDDD"/>
        <bgColor rgb="FFDDDDDD"/>
      </patternFill>
    </fill>
    <fill>
      <patternFill patternType="solid">
        <fgColor rgb="FF99CCFF"/>
        <bgColor rgb="FF99CCFF"/>
      </patternFill>
    </fill>
    <fill>
      <patternFill patternType="solid">
        <fgColor rgb="FF99FF33"/>
        <bgColor rgb="FF99FF33"/>
      </patternFill>
    </fill>
    <fill>
      <patternFill patternType="solid">
        <fgColor rgb="FFFFFF99"/>
        <bgColor rgb="FFFFFF99"/>
      </patternFill>
    </fill>
    <fill>
      <patternFill patternType="solid">
        <fgColor rgb="FFD4EA6B"/>
        <bgColor rgb="FFD4EA6B"/>
      </patternFill>
    </fill>
    <fill>
      <patternFill patternType="solid">
        <fgColor rgb="FF66CCFF"/>
        <bgColor rgb="FF66CCFF"/>
      </patternFill>
    </fill>
    <fill>
      <patternFill patternType="solid">
        <fgColor rgb="FFFFFF66"/>
        <bgColor rgb="FFFFFF66"/>
      </patternFill>
    </fill>
    <fill>
      <patternFill patternType="solid">
        <fgColor rgb="FFBBE33D"/>
        <bgColor rgb="FFBBE33D"/>
      </patternFill>
    </fill>
    <fill>
      <patternFill patternType="solid">
        <fgColor rgb="FFFF9900"/>
        <bgColor rgb="FFFF9900"/>
      </patternFill>
    </fill>
    <fill>
      <patternFill patternType="solid">
        <fgColor rgb="FF9999FF"/>
        <bgColor rgb="FF9999FF"/>
      </patternFill>
    </fill>
    <fill>
      <patternFill patternType="solid">
        <fgColor rgb="FFCCCCFF"/>
        <bgColor rgb="FFCCCCFF"/>
      </patternFill>
    </fill>
    <fill>
      <patternFill patternType="solid">
        <fgColor rgb="FFCCFF99"/>
        <bgColor rgb="FFCCFF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2" borderId="1" xfId="0" applyFont="1" applyFill="1" applyBorder="1"/>
    <xf numFmtId="0" fontId="1" fillId="6" borderId="0" xfId="0" applyFont="1" applyFill="1"/>
    <xf numFmtId="0" fontId="1" fillId="7" borderId="1" xfId="0" applyFont="1" applyFill="1" applyBorder="1" applyAlignment="1">
      <alignment horizontal="center"/>
    </xf>
    <xf numFmtId="0" fontId="2" fillId="3" borderId="1" xfId="0" applyFont="1" applyFill="1" applyBorder="1"/>
    <xf numFmtId="1" fontId="2" fillId="8" borderId="1" xfId="0" applyNumberFormat="1" applyFont="1" applyFill="1" applyBorder="1"/>
    <xf numFmtId="1" fontId="2" fillId="0" borderId="1" xfId="0" applyNumberFormat="1" applyFont="1" applyBorder="1"/>
    <xf numFmtId="164" fontId="2" fillId="9" borderId="1" xfId="0" applyNumberFormat="1" applyFont="1" applyFill="1" applyBorder="1"/>
    <xf numFmtId="164" fontId="2" fillId="0" borderId="1" xfId="0" applyNumberFormat="1" applyFont="1" applyBorder="1"/>
    <xf numFmtId="165" fontId="1" fillId="0" borderId="1" xfId="0" applyNumberFormat="1" applyFont="1" applyBorder="1"/>
    <xf numFmtId="165" fontId="2" fillId="0" borderId="1" xfId="0" applyNumberFormat="1" applyFont="1" applyBorder="1"/>
    <xf numFmtId="0" fontId="1" fillId="10" borderId="0" xfId="0" applyFont="1" applyFill="1"/>
    <xf numFmtId="0" fontId="1" fillId="10" borderId="0" xfId="0" applyFont="1" applyFill="1" applyAlignment="1">
      <alignment horizontal="center"/>
    </xf>
    <xf numFmtId="165" fontId="1" fillId="10" borderId="1" xfId="0" applyNumberFormat="1" applyFont="1" applyFill="1" applyBorder="1" applyAlignment="1">
      <alignment horizontal="right"/>
    </xf>
    <xf numFmtId="165" fontId="1" fillId="10" borderId="1" xfId="0" applyNumberFormat="1" applyFont="1" applyFill="1" applyBorder="1"/>
    <xf numFmtId="0" fontId="2" fillId="9" borderId="1" xfId="0" applyFont="1" applyFill="1" applyBorder="1"/>
    <xf numFmtId="164" fontId="2" fillId="5" borderId="1" xfId="0" applyNumberFormat="1" applyFont="1" applyFill="1" applyBorder="1"/>
    <xf numFmtId="165" fontId="2" fillId="3" borderId="1" xfId="0" applyNumberFormat="1" applyFont="1" applyFill="1" applyBorder="1"/>
    <xf numFmtId="165" fontId="2" fillId="11" borderId="1" xfId="0" applyNumberFormat="1" applyFont="1" applyFill="1" applyBorder="1"/>
    <xf numFmtId="2" fontId="1" fillId="0" borderId="1" xfId="0" applyNumberFormat="1" applyFont="1" applyBorder="1"/>
    <xf numFmtId="164" fontId="2" fillId="6" borderId="1" xfId="0" applyNumberFormat="1" applyFont="1" applyFill="1" applyBorder="1"/>
    <xf numFmtId="164" fontId="1" fillId="0" borderId="1" xfId="0" applyNumberFormat="1" applyFont="1" applyBorder="1"/>
    <xf numFmtId="0" fontId="2" fillId="6" borderId="1" xfId="0" applyFont="1" applyFill="1" applyBorder="1"/>
    <xf numFmtId="0" fontId="2" fillId="12" borderId="1" xfId="0" applyFont="1" applyFill="1" applyBorder="1"/>
    <xf numFmtId="0" fontId="4" fillId="6" borderId="0" xfId="0" applyFont="1" applyFill="1"/>
    <xf numFmtId="0" fontId="4" fillId="0" borderId="0" xfId="0" applyFont="1"/>
    <xf numFmtId="0" fontId="4" fillId="13" borderId="0" xfId="0" applyFont="1" applyFill="1"/>
    <xf numFmtId="0" fontId="0" fillId="13" borderId="0" xfId="0" applyFill="1"/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164" fontId="0" fillId="6" borderId="1" xfId="0" applyNumberFormat="1" applyFill="1" applyBorder="1"/>
    <xf numFmtId="165" fontId="0" fillId="0" borderId="1" xfId="0" applyNumberFormat="1" applyBorder="1"/>
    <xf numFmtId="164" fontId="0" fillId="0" borderId="1" xfId="0" applyNumberFormat="1" applyBorder="1"/>
    <xf numFmtId="165" fontId="4" fillId="0" borderId="1" xfId="0" applyNumberFormat="1" applyFont="1" applyBorder="1"/>
    <xf numFmtId="164" fontId="4" fillId="11" borderId="0" xfId="0" applyNumberFormat="1" applyFont="1" applyFill="1"/>
    <xf numFmtId="164" fontId="0" fillId="14" borderId="1" xfId="0" applyNumberFormat="1" applyFill="1" applyBorder="1"/>
    <xf numFmtId="0" fontId="0" fillId="6" borderId="1" xfId="0" applyFill="1" applyBorder="1"/>
    <xf numFmtId="164" fontId="0" fillId="3" borderId="1" xfId="0" applyNumberFormat="1" applyFill="1" applyBorder="1"/>
    <xf numFmtId="0" fontId="4" fillId="11" borderId="0" xfId="0" applyFont="1" applyFill="1"/>
  </cellXfs>
  <cellStyles count="1">
    <cellStyle name="Normal" xfId="0" builtinId="0"/>
  </cellStyles>
  <dxfs count="3">
    <dxf>
      <fill>
        <patternFill patternType="solid">
          <fgColor rgb="FF99FF33"/>
          <bgColor rgb="FF99FF33"/>
        </patternFill>
      </fill>
    </dxf>
    <dxf>
      <fill>
        <patternFill patternType="solid">
          <fgColor rgb="FF99FF33"/>
          <bgColor rgb="FF99FF33"/>
        </patternFill>
      </fill>
    </dxf>
    <dxf>
      <fill>
        <patternFill patternType="solid">
          <fgColor rgb="FF66FF00"/>
          <bgColor rgb="FF66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[1]Ex_1!$B$6</c:f>
              <c:strCache>
                <c:ptCount val="1"/>
                <c:pt idx="0">
                  <c:v>-77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[1]Ex_1!$A$7:$A$16</c:f>
              <c:numCache>
                <c:formatCode>General</c:formatCode>
                <c:ptCount val="10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[1]Ex_1!$B$7:$B$16</c:f>
              <c:numCache>
                <c:formatCode>General</c:formatCode>
                <c:ptCount val="10"/>
                <c:pt idx="0">
                  <c:v>-25</c:v>
                </c:pt>
                <c:pt idx="1">
                  <c:v>3</c:v>
                </c:pt>
                <c:pt idx="2">
                  <c:v>13</c:v>
                </c:pt>
                <c:pt idx="3">
                  <c:v>11</c:v>
                </c:pt>
                <c:pt idx="4">
                  <c:v>3</c:v>
                </c:pt>
                <c:pt idx="5">
                  <c:v>-5</c:v>
                </c:pt>
                <c:pt idx="6">
                  <c:v>-7</c:v>
                </c:pt>
                <c:pt idx="7">
                  <c:v>3</c:v>
                </c:pt>
                <c:pt idx="8">
                  <c:v>31</c:v>
                </c:pt>
                <c:pt idx="9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06-4E98-97B0-4EBC7B946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431840"/>
        <c:axId val="309432320"/>
      </c:scatterChart>
      <c:valAx>
        <c:axId val="30943232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309431840"/>
        <c:crossesAt val="0"/>
        <c:crossBetween val="midCat"/>
      </c:valAx>
      <c:valAx>
        <c:axId val="30943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309432320"/>
        <c:crossesAt val="0"/>
        <c:crossBetween val="midCat"/>
        <c:majorUnit val="1"/>
        <c:minorUnit val="1"/>
      </c:valAx>
      <c:spPr>
        <a:noFill/>
        <a:ln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[2]Ex_1!$B$6</c:f>
              <c:strCache>
                <c:ptCount val="1"/>
                <c:pt idx="0">
                  <c:v>-124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[2]Ex_1!$A$7:$A$16</c:f>
              <c:numCache>
                <c:formatCode>General</c:formatCode>
                <c:ptCount val="10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[2]Ex_1!$B$7:$B$16</c:f>
              <c:numCache>
                <c:formatCode>General</c:formatCode>
                <c:ptCount val="10"/>
                <c:pt idx="0">
                  <c:v>-235</c:v>
                </c:pt>
                <c:pt idx="1">
                  <c:v>-204</c:v>
                </c:pt>
                <c:pt idx="2">
                  <c:v>-115</c:v>
                </c:pt>
                <c:pt idx="3">
                  <c:v>-28</c:v>
                </c:pt>
                <c:pt idx="4">
                  <c:v>21</c:v>
                </c:pt>
                <c:pt idx="5">
                  <c:v>20</c:v>
                </c:pt>
                <c:pt idx="6">
                  <c:v>-19</c:v>
                </c:pt>
                <c:pt idx="7">
                  <c:v>-60</c:v>
                </c:pt>
                <c:pt idx="8">
                  <c:v>-43</c:v>
                </c:pt>
                <c:pt idx="9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8-4AB3-9AF2-F1AFD1BC8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089104"/>
        <c:axId val="307448160"/>
      </c:scatterChart>
      <c:valAx>
        <c:axId val="30744816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316089104"/>
        <c:crossesAt val="0"/>
        <c:crossBetween val="midCat"/>
      </c:valAx>
      <c:valAx>
        <c:axId val="31608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307448160"/>
        <c:crossesAt val="0"/>
        <c:crossBetween val="midCat"/>
        <c:majorUnit val="1"/>
        <c:minorUnit val="1"/>
      </c:valAx>
      <c:spPr>
        <a:noFill/>
        <a:ln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641231" y="1025768"/>
    <xdr:ext cx="5108760" cy="313667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C21D50-EF32-4068-81B7-AAB7CDCF7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366346" y="4249615"/>
    <xdr:ext cx="2528280" cy="74375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3E329E90-3806-441D-9188-4B0AA43340FA}"/>
                </a:ext>
              </a:extLst>
            </xdr:cNvPr>
            <xdr:cNvSpPr txBox="1">
              <a:spLocks noResize="1"/>
            </xdr:cNvSpPr>
          </xdr:nvSpPr>
          <xdr:spPr>
            <a:xfrm>
              <a:off x="366346" y="4249615"/>
              <a:ext cx="2528280" cy="743759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i="1">
                            <a:latin typeface="Cambria Math" panose="02040503050406030204" pitchFamily="18" charset="0"/>
                          </a:rPr>
                          <m:t>𝑁𝑆</m:t>
                        </m:r>
                      </m:sub>
                    </m:sSub>
                    <m:r>
                      <a:rPr lang="pt-BR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i="1">
                            <a:latin typeface="Cambria Math" panose="02040503050406030204" pitchFamily="18" charset="0"/>
                          </a:rPr>
                          <m:t>𝑎𝑓</m:t>
                        </m:r>
                        <m:d>
                          <m:dPr>
                            <m:ctrlPr>
                              <a:rPr lang="pt-BR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e>
                        </m:d>
                        <m:r>
                          <a:rPr lang="pt-BR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i="1">
                            <a:latin typeface="Cambria Math" panose="02040503050406030204" pitchFamily="18" charset="0"/>
                          </a:rPr>
                          <m:t>𝑏𝑓</m:t>
                        </m:r>
                        <m:d>
                          <m:dPr>
                            <m:ctrlPr>
                              <a:rPr lang="pt-BR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</m:num>
                      <m:den>
                        <m:r>
                          <a:rPr lang="pt-BR" i="1">
                            <a:latin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lang="pt-BR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e>
                        </m:d>
                        <m:r>
                          <a:rPr lang="pt-BR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i="1">
                            <a:latin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lang="pt-BR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pt-BR">
                <a:latin typeface="Liberation Serif" pitchFamily="18"/>
              </a:endParaRPr>
            </a:p>
          </xdr:txBody>
        </xdr:sp>
      </mc:Choice>
      <mc:Fallback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3E329E90-3806-441D-9188-4B0AA43340FA}"/>
                </a:ext>
              </a:extLst>
            </xdr:cNvPr>
            <xdr:cNvSpPr txBox="1">
              <a:spLocks noResize="1"/>
            </xdr:cNvSpPr>
          </xdr:nvSpPr>
          <xdr:spPr>
            <a:xfrm>
              <a:off x="366346" y="4249615"/>
              <a:ext cx="2528280" cy="743759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:r>
                <a:rPr lang="pt-BR" i="0">
                  <a:latin typeface="Cambria Math" panose="02040503050406030204" pitchFamily="18" charset="0"/>
                </a:rPr>
                <a:t>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𝑁𝑆=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pt-BR" i="0">
                  <a:latin typeface="Cambria Math" panose="02040503050406030204" pitchFamily="18" charset="0"/>
                </a:rPr>
                <a:t>𝑎𝑓(𝑏)−𝑏𝑓(𝑎)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pt-BR" i="0">
                  <a:latin typeface="Cambria Math" panose="02040503050406030204" pitchFamily="18" charset="0"/>
                </a:rPr>
                <a:t>𝑓(𝑏)−𝑓(𝑎) 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pt-BR">
                <a:latin typeface="Liberation Serif" pitchFamily="18"/>
              </a:endParaRPr>
            </a:p>
          </xdr:txBody>
        </xdr:sp>
      </mc:Fallback>
    </mc:AlternateContent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63140" y="762000"/>
    <xdr:ext cx="5489640" cy="33706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CF7E72-DA7E-4DBA-A9AC-6D20D7F8D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83b9f244c77dc93/Biblioteca/Prof.%20Substituto%20-%20DEC/Disciplinas/DEC7142%20C&#225;lculo%20Num&#233;rico%20em%20Computadores/Material/Unidade%202/Ex_3_false_position.ods" TargetMode="External"/><Relationship Id="rId1" Type="http://schemas.openxmlformats.org/officeDocument/2006/relationships/externalLinkPath" Target="Ex_3_false_position.od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83b9f244c77dc93/Biblioteca/Prof.%20Substituto%20-%20DEC/Disciplinas/DEC7142%20C&#225;lculo%20Num&#233;rico%20em%20Computadores/Material/Unidade%202/Ex_4_false_position.ods" TargetMode="External"/><Relationship Id="rId1" Type="http://schemas.openxmlformats.org/officeDocument/2006/relationships/externalLinkPath" Target="Ex_4_false_position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_1"/>
      <sheetName val="Test"/>
    </sheetNames>
    <sheetDataSet>
      <sheetData sheetId="0">
        <row r="6">
          <cell r="B6">
            <v>-77</v>
          </cell>
        </row>
        <row r="7">
          <cell r="A7">
            <v>-4</v>
          </cell>
          <cell r="B7">
            <v>-25</v>
          </cell>
        </row>
        <row r="8">
          <cell r="A8">
            <v>-3</v>
          </cell>
          <cell r="B8">
            <v>3</v>
          </cell>
        </row>
        <row r="9">
          <cell r="A9">
            <v>-2</v>
          </cell>
          <cell r="B9">
            <v>13</v>
          </cell>
        </row>
        <row r="10">
          <cell r="A10">
            <v>-1</v>
          </cell>
          <cell r="B10">
            <v>11</v>
          </cell>
        </row>
        <row r="11">
          <cell r="A11">
            <v>0</v>
          </cell>
          <cell r="B11">
            <v>3</v>
          </cell>
        </row>
        <row r="12">
          <cell r="A12">
            <v>1</v>
          </cell>
          <cell r="B12">
            <v>-5</v>
          </cell>
        </row>
        <row r="13">
          <cell r="A13">
            <v>2</v>
          </cell>
          <cell r="B13">
            <v>-7</v>
          </cell>
        </row>
        <row r="14">
          <cell r="A14">
            <v>3</v>
          </cell>
          <cell r="B14">
            <v>3</v>
          </cell>
        </row>
        <row r="15">
          <cell r="A15">
            <v>4</v>
          </cell>
          <cell r="B15">
            <v>31</v>
          </cell>
        </row>
        <row r="16">
          <cell r="A16">
            <v>5</v>
          </cell>
          <cell r="B16">
            <v>83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_1"/>
      <sheetName val="Test"/>
    </sheetNames>
    <sheetDataSet>
      <sheetData sheetId="0">
        <row r="6">
          <cell r="B6">
            <v>-124</v>
          </cell>
        </row>
        <row r="7">
          <cell r="A7">
            <v>-4</v>
          </cell>
          <cell r="B7">
            <v>-235</v>
          </cell>
        </row>
        <row r="8">
          <cell r="A8">
            <v>-3</v>
          </cell>
          <cell r="B8">
            <v>-204</v>
          </cell>
        </row>
        <row r="9">
          <cell r="A9">
            <v>-2</v>
          </cell>
          <cell r="B9">
            <v>-115</v>
          </cell>
        </row>
        <row r="10">
          <cell r="A10">
            <v>-1</v>
          </cell>
          <cell r="B10">
            <v>-28</v>
          </cell>
        </row>
        <row r="11">
          <cell r="A11">
            <v>0</v>
          </cell>
          <cell r="B11">
            <v>21</v>
          </cell>
        </row>
        <row r="12">
          <cell r="A12">
            <v>1</v>
          </cell>
          <cell r="B12">
            <v>20</v>
          </cell>
        </row>
        <row r="13">
          <cell r="A13">
            <v>2</v>
          </cell>
          <cell r="B13">
            <v>-19</v>
          </cell>
        </row>
        <row r="14">
          <cell r="A14">
            <v>3</v>
          </cell>
          <cell r="B14">
            <v>-60</v>
          </cell>
        </row>
        <row r="15">
          <cell r="A15">
            <v>4</v>
          </cell>
          <cell r="B15">
            <v>-43</v>
          </cell>
        </row>
        <row r="16">
          <cell r="A16">
            <v>5</v>
          </cell>
          <cell r="B16">
            <v>116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FD59"/>
  <sheetViews>
    <sheetView zoomScale="79" workbookViewId="0">
      <selection activeCell="Q26" sqref="Q26"/>
    </sheetView>
  </sheetViews>
  <sheetFormatPr defaultRowHeight="15.6"/>
  <cols>
    <col min="1" max="1" width="5.109375" style="2" customWidth="1"/>
    <col min="2" max="2" width="7.44140625" style="2" customWidth="1"/>
    <col min="3" max="3" width="9.44140625" style="2" customWidth="1"/>
    <col min="4" max="4" width="8.21875" style="2" customWidth="1"/>
    <col min="5" max="5" width="8.44140625" style="2" customWidth="1"/>
    <col min="6" max="6" width="7.88671875" style="2" customWidth="1"/>
    <col min="7" max="7" width="9" style="2" customWidth="1"/>
    <col min="8" max="8" width="12.6640625" style="2" customWidth="1"/>
    <col min="9" max="9" width="12.77734375" style="2" customWidth="1"/>
    <col min="10" max="10" width="10.5546875" style="2" customWidth="1"/>
    <col min="11" max="11" width="10.77734375" style="2" customWidth="1"/>
    <col min="12" max="12" width="7.88671875" style="2" customWidth="1"/>
    <col min="13" max="13" width="9.33203125" style="2" customWidth="1"/>
    <col min="14" max="14" width="4.6640625" style="2" customWidth="1"/>
    <col min="15" max="1024" width="11.88671875" style="2" customWidth="1"/>
  </cols>
  <sheetData>
    <row r="2" spans="1:3" customFormat="1">
      <c r="A2" s="1" t="s">
        <v>0</v>
      </c>
      <c r="B2" s="2"/>
      <c r="C2" s="2"/>
    </row>
    <row r="4" spans="1:3" customFormat="1" ht="16.8">
      <c r="A4" s="3" t="s">
        <v>1</v>
      </c>
      <c r="B4" s="4" t="s">
        <v>2</v>
      </c>
      <c r="C4" s="4"/>
    </row>
    <row r="5" spans="1:3" customFormat="1">
      <c r="A5" s="5" t="s">
        <v>3</v>
      </c>
      <c r="B5" s="5" t="s">
        <v>4</v>
      </c>
      <c r="C5" s="2"/>
    </row>
    <row r="6" spans="1:3" customFormat="1">
      <c r="A6" s="6">
        <v>-5</v>
      </c>
      <c r="B6" s="6">
        <f t="shared" ref="B6:B16" si="0">POWER(A6,3)-9*A6 +3</f>
        <v>-77</v>
      </c>
      <c r="C6" s="2"/>
    </row>
    <row r="7" spans="1:3" customFormat="1">
      <c r="A7" s="7">
        <v>-4</v>
      </c>
      <c r="B7" s="7">
        <f t="shared" si="0"/>
        <v>-25</v>
      </c>
      <c r="C7" s="2"/>
    </row>
    <row r="8" spans="1:3" customFormat="1">
      <c r="A8" s="7">
        <v>-3</v>
      </c>
      <c r="B8" s="7">
        <f t="shared" si="0"/>
        <v>3</v>
      </c>
      <c r="C8" s="2"/>
    </row>
    <row r="9" spans="1:3" customFormat="1">
      <c r="A9" s="6">
        <v>-2</v>
      </c>
      <c r="B9" s="6">
        <f t="shared" si="0"/>
        <v>13</v>
      </c>
      <c r="C9" s="2"/>
    </row>
    <row r="10" spans="1:3" customFormat="1">
      <c r="A10" s="6">
        <v>-1</v>
      </c>
      <c r="B10" s="6">
        <f t="shared" si="0"/>
        <v>11</v>
      </c>
      <c r="C10" s="2"/>
    </row>
    <row r="11" spans="1:3" customFormat="1">
      <c r="A11" s="8">
        <v>0</v>
      </c>
      <c r="B11" s="8">
        <f t="shared" si="0"/>
        <v>3</v>
      </c>
      <c r="C11" s="2"/>
    </row>
    <row r="12" spans="1:3" customFormat="1">
      <c r="A12" s="8">
        <v>1</v>
      </c>
      <c r="B12" s="8">
        <f t="shared" si="0"/>
        <v>-5</v>
      </c>
      <c r="C12" s="2"/>
    </row>
    <row r="13" spans="1:3" customFormat="1">
      <c r="A13" s="9">
        <v>2</v>
      </c>
      <c r="B13" s="9">
        <f t="shared" si="0"/>
        <v>-7</v>
      </c>
      <c r="C13" s="2"/>
    </row>
    <row r="14" spans="1:3" customFormat="1">
      <c r="A14" s="9">
        <v>3</v>
      </c>
      <c r="B14" s="9">
        <f t="shared" si="0"/>
        <v>3</v>
      </c>
      <c r="C14" s="2"/>
    </row>
    <row r="15" spans="1:3" customFormat="1">
      <c r="A15" s="6">
        <v>4</v>
      </c>
      <c r="B15" s="6">
        <f t="shared" si="0"/>
        <v>31</v>
      </c>
      <c r="C15" s="2"/>
    </row>
    <row r="16" spans="1:3" customFormat="1">
      <c r="A16" s="6">
        <v>5</v>
      </c>
      <c r="B16" s="6">
        <f t="shared" si="0"/>
        <v>83</v>
      </c>
      <c r="C16" s="2"/>
    </row>
    <row r="19" spans="1:12" customFormat="1">
      <c r="A19" s="10" t="s">
        <v>5</v>
      </c>
      <c r="B19" s="10">
        <v>1E-3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6" spans="1:12" customFormat="1">
      <c r="A26" s="2"/>
      <c r="B26" s="2"/>
      <c r="C26" s="2"/>
      <c r="D26" s="2"/>
      <c r="E26" s="2"/>
      <c r="F26" s="2"/>
      <c r="G26" s="2"/>
      <c r="H26" s="2" t="s">
        <v>6</v>
      </c>
      <c r="I26" s="2" t="s">
        <v>7</v>
      </c>
      <c r="J26" s="2"/>
      <c r="K26" s="5" t="s">
        <v>8</v>
      </c>
      <c r="L26" s="2"/>
    </row>
    <row r="27" spans="1:12" customFormat="1">
      <c r="A27" s="5" t="s">
        <v>9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8</v>
      </c>
      <c r="H27" s="11" t="s">
        <v>15</v>
      </c>
      <c r="I27" s="11" t="s">
        <v>16</v>
      </c>
      <c r="J27" s="5" t="s">
        <v>17</v>
      </c>
      <c r="K27" s="5" t="s">
        <v>18</v>
      </c>
      <c r="L27" s="12" t="s">
        <v>19</v>
      </c>
    </row>
    <row r="28" spans="1:12" customFormat="1">
      <c r="A28" s="6">
        <v>1</v>
      </c>
      <c r="B28" s="13">
        <v>-4</v>
      </c>
      <c r="C28" s="13">
        <v>-3</v>
      </c>
      <c r="D28" s="6">
        <f t="shared" ref="D28:E34" si="1">POWER(B28,3)-9*B28 +3</f>
        <v>-25</v>
      </c>
      <c r="E28" s="14">
        <f t="shared" si="1"/>
        <v>3</v>
      </c>
      <c r="F28" s="15">
        <f t="shared" ref="F28:F34" si="2">(B28*E28-C28*D28)/(E28-D28)</f>
        <v>-3.1071428571428572</v>
      </c>
      <c r="G28" s="16">
        <f t="shared" ref="G28:G34" si="3">POWER(F28,3)-9*F28 +3</f>
        <v>0.96688228862973702</v>
      </c>
      <c r="H28" s="16">
        <f t="shared" ref="H28:H34" si="4">D28*G28</f>
        <v>-24.172057215743425</v>
      </c>
      <c r="I28" s="16">
        <f t="shared" ref="I28:I34" si="5">E28*G28</f>
        <v>2.9006468658892111</v>
      </c>
      <c r="J28" s="6">
        <f t="shared" ref="J28:J34" si="6">$B$19</f>
        <v>1E-3</v>
      </c>
      <c r="K28" s="17">
        <f t="shared" ref="K28:K34" si="7">ABS(G28)</f>
        <v>0.96688228862973702</v>
      </c>
      <c r="L28" s="6" t="str">
        <f t="shared" ref="L28:L34" si="8">IF(K28&lt;J28, "Fim!", "")</f>
        <v/>
      </c>
    </row>
    <row r="29" spans="1:12" customFormat="1">
      <c r="A29" s="6">
        <v>2</v>
      </c>
      <c r="B29" s="14">
        <f t="shared" ref="B29:B34" si="9">B28</f>
        <v>-4</v>
      </c>
      <c r="C29" s="18">
        <f t="shared" ref="C29:C34" si="10">F28</f>
        <v>-3.1071428571428572</v>
      </c>
      <c r="D29" s="6">
        <f t="shared" si="1"/>
        <v>-25</v>
      </c>
      <c r="E29" s="14">
        <f t="shared" si="1"/>
        <v>0.96688228862973702</v>
      </c>
      <c r="F29" s="15">
        <f t="shared" si="2"/>
        <v>-3.14038857944827</v>
      </c>
      <c r="G29" s="16">
        <f t="shared" si="3"/>
        <v>0.29285807882790493</v>
      </c>
      <c r="H29" s="16">
        <f t="shared" si="4"/>
        <v>-7.3214519706976233</v>
      </c>
      <c r="I29" s="16">
        <f t="shared" si="5"/>
        <v>0.28315928950083263</v>
      </c>
      <c r="J29" s="6">
        <f t="shared" si="6"/>
        <v>1E-3</v>
      </c>
      <c r="K29" s="17">
        <f t="shared" si="7"/>
        <v>0.29285807882790493</v>
      </c>
      <c r="L29" s="6" t="str">
        <f t="shared" si="8"/>
        <v/>
      </c>
    </row>
    <row r="30" spans="1:12" customFormat="1">
      <c r="A30" s="6">
        <v>3</v>
      </c>
      <c r="B30" s="14">
        <f t="shared" si="9"/>
        <v>-4</v>
      </c>
      <c r="C30" s="18">
        <f t="shared" si="10"/>
        <v>-3.14038857944827</v>
      </c>
      <c r="D30" s="6">
        <f t="shared" si="1"/>
        <v>-25</v>
      </c>
      <c r="E30" s="14">
        <f t="shared" si="1"/>
        <v>0.29285807882790493</v>
      </c>
      <c r="F30" s="15">
        <f t="shared" si="2"/>
        <v>-3.1503417507496989</v>
      </c>
      <c r="G30" s="16">
        <f t="shared" si="3"/>
        <v>8.7026587566434443E-2</v>
      </c>
      <c r="H30" s="16">
        <f t="shared" si="4"/>
        <v>-2.1756646891608611</v>
      </c>
      <c r="I30" s="16">
        <f t="shared" si="5"/>
        <v>2.5486439241654429E-2</v>
      </c>
      <c r="J30" s="6">
        <f t="shared" si="6"/>
        <v>1E-3</v>
      </c>
      <c r="K30" s="17">
        <f t="shared" si="7"/>
        <v>8.7026587566434443E-2</v>
      </c>
      <c r="L30" s="6" t="str">
        <f t="shared" si="8"/>
        <v/>
      </c>
    </row>
    <row r="31" spans="1:12" customFormat="1">
      <c r="A31" s="6">
        <v>4</v>
      </c>
      <c r="B31" s="14">
        <f t="shared" si="9"/>
        <v>-4</v>
      </c>
      <c r="C31" s="18">
        <f t="shared" si="10"/>
        <v>-3.1503417507496989</v>
      </c>
      <c r="D31" s="6">
        <f t="shared" si="1"/>
        <v>-25</v>
      </c>
      <c r="E31" s="14">
        <f t="shared" si="1"/>
        <v>8.7026587566434443E-2</v>
      </c>
      <c r="F31" s="15">
        <f t="shared" si="2"/>
        <v>-3.1532892047961889</v>
      </c>
      <c r="G31" s="16">
        <f t="shared" si="3"/>
        <v>2.5714165505267061E-2</v>
      </c>
      <c r="H31" s="16">
        <f t="shared" si="4"/>
        <v>-0.64285413763167654</v>
      </c>
      <c r="I31" s="16">
        <f t="shared" si="5"/>
        <v>2.237816076041912E-3</v>
      </c>
      <c r="J31" s="6">
        <f t="shared" si="6"/>
        <v>1E-3</v>
      </c>
      <c r="K31" s="17">
        <f t="shared" si="7"/>
        <v>2.5714165505267061E-2</v>
      </c>
      <c r="L31" s="6" t="str">
        <f t="shared" si="8"/>
        <v/>
      </c>
    </row>
    <row r="32" spans="1:12" customFormat="1">
      <c r="A32" s="6">
        <v>5</v>
      </c>
      <c r="B32" s="14">
        <f t="shared" si="9"/>
        <v>-4</v>
      </c>
      <c r="C32" s="18">
        <f t="shared" si="10"/>
        <v>-3.1532892047961889</v>
      </c>
      <c r="D32" s="6">
        <f t="shared" si="1"/>
        <v>-25</v>
      </c>
      <c r="E32" s="14">
        <f t="shared" si="1"/>
        <v>2.5714165505267061E-2</v>
      </c>
      <c r="F32" s="15">
        <f t="shared" si="2"/>
        <v>-3.1541592084004408</v>
      </c>
      <c r="G32" s="16">
        <f t="shared" si="3"/>
        <v>7.5850919064386346E-3</v>
      </c>
      <c r="H32" s="16">
        <f t="shared" si="4"/>
        <v>-0.18962729766096587</v>
      </c>
      <c r="I32" s="16">
        <f t="shared" si="5"/>
        <v>1.9504430865482472E-4</v>
      </c>
      <c r="J32" s="6">
        <f t="shared" si="6"/>
        <v>1E-3</v>
      </c>
      <c r="K32" s="17">
        <f t="shared" si="7"/>
        <v>7.5850919064386346E-3</v>
      </c>
      <c r="L32" s="6" t="str">
        <f t="shared" si="8"/>
        <v/>
      </c>
    </row>
    <row r="33" spans="1:15" customFormat="1">
      <c r="A33" s="6">
        <v>6</v>
      </c>
      <c r="B33" s="14">
        <f t="shared" si="9"/>
        <v>-4</v>
      </c>
      <c r="C33" s="18">
        <f t="shared" si="10"/>
        <v>-3.1541592084004408</v>
      </c>
      <c r="D33" s="6">
        <f t="shared" si="1"/>
        <v>-25</v>
      </c>
      <c r="E33" s="14">
        <f t="shared" si="1"/>
        <v>7.5850919064386346E-3</v>
      </c>
      <c r="F33" s="15">
        <f t="shared" si="2"/>
        <v>-3.1544157617669062</v>
      </c>
      <c r="G33" s="16">
        <f t="shared" si="3"/>
        <v>2.2363163068170877E-3</v>
      </c>
      <c r="H33" s="16">
        <f t="shared" si="4"/>
        <v>-5.5907907670427193E-2</v>
      </c>
      <c r="I33" s="16">
        <f t="shared" si="5"/>
        <v>1.6962664719075032E-5</v>
      </c>
      <c r="J33" s="6">
        <f t="shared" si="6"/>
        <v>1E-3</v>
      </c>
      <c r="K33" s="17">
        <f t="shared" si="7"/>
        <v>2.2363163068170877E-3</v>
      </c>
      <c r="L33" s="6" t="str">
        <f t="shared" si="8"/>
        <v/>
      </c>
      <c r="M33" s="2"/>
      <c r="N33" s="2"/>
      <c r="O33" s="2"/>
    </row>
    <row r="34" spans="1:15" customFormat="1">
      <c r="A34" s="6">
        <v>7</v>
      </c>
      <c r="B34" s="14">
        <f t="shared" si="9"/>
        <v>-4</v>
      </c>
      <c r="C34" s="18">
        <f t="shared" si="10"/>
        <v>-3.1544157617669062</v>
      </c>
      <c r="D34" s="6">
        <f t="shared" si="1"/>
        <v>-25</v>
      </c>
      <c r="E34" s="14">
        <f t="shared" si="1"/>
        <v>2.2363163068170877E-3</v>
      </c>
      <c r="F34" s="15">
        <f t="shared" si="2"/>
        <v>-3.1544913947541646</v>
      </c>
      <c r="G34" s="16">
        <f t="shared" si="3"/>
        <v>6.5923751603946812E-4</v>
      </c>
      <c r="H34" s="16">
        <f t="shared" si="4"/>
        <v>-1.6480937900986703E-2</v>
      </c>
      <c r="I34" s="16">
        <f t="shared" si="5"/>
        <v>1.4742636071846541E-6</v>
      </c>
      <c r="J34" s="6">
        <f t="shared" si="6"/>
        <v>1E-3</v>
      </c>
      <c r="K34" s="17">
        <f t="shared" si="7"/>
        <v>6.5923751603946812E-4</v>
      </c>
      <c r="L34" s="6" t="str">
        <f t="shared" si="8"/>
        <v>Fim!</v>
      </c>
      <c r="M34" s="2"/>
      <c r="N34" s="2"/>
      <c r="O34" s="2"/>
    </row>
    <row r="36" spans="1:15" customFormat="1">
      <c r="A36" s="2"/>
      <c r="B36" s="19" t="s">
        <v>20</v>
      </c>
      <c r="C36" s="19"/>
      <c r="D36" s="20" t="s">
        <v>21</v>
      </c>
      <c r="E36" s="21">
        <f>F34</f>
        <v>-3.1544913947541646</v>
      </c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customFormat="1">
      <c r="A37" s="2"/>
      <c r="B37" s="2"/>
      <c r="D37" s="20" t="s">
        <v>1</v>
      </c>
      <c r="E37" s="22">
        <f>POWER(E36,3)-9*E36 +3</f>
        <v>6.5923751603946812E-4</v>
      </c>
      <c r="F37" s="2"/>
      <c r="G37" s="2"/>
      <c r="H37" s="2"/>
      <c r="I37" s="2"/>
      <c r="J37" s="2"/>
      <c r="K37" s="2"/>
      <c r="L37" s="2"/>
      <c r="M37" s="2"/>
      <c r="N37" s="2"/>
      <c r="O37" s="2"/>
    </row>
    <row r="39" spans="1:15" customFormat="1">
      <c r="A39" s="2"/>
      <c r="B39" s="2"/>
      <c r="C39" s="2"/>
      <c r="D39" s="2"/>
      <c r="E39" s="2"/>
      <c r="F39" s="2"/>
      <c r="G39" s="2"/>
      <c r="H39" s="5" t="s">
        <v>8</v>
      </c>
      <c r="I39" s="2"/>
      <c r="L39" s="2"/>
    </row>
    <row r="40" spans="1:15" customFormat="1">
      <c r="A40" s="5" t="s">
        <v>9</v>
      </c>
      <c r="B40" s="5" t="s">
        <v>10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8</v>
      </c>
      <c r="H40" s="5" t="s">
        <v>15</v>
      </c>
      <c r="I40" s="5" t="s">
        <v>16</v>
      </c>
      <c r="J40" s="5" t="s">
        <v>17</v>
      </c>
      <c r="K40" s="5" t="s">
        <v>18</v>
      </c>
      <c r="L40" s="2"/>
    </row>
    <row r="41" spans="1:15" customFormat="1">
      <c r="A41" s="6">
        <v>1</v>
      </c>
      <c r="B41" s="8">
        <v>0</v>
      </c>
      <c r="C41" s="8">
        <v>1</v>
      </c>
      <c r="D41" s="6">
        <f t="shared" ref="D41:E43" si="11">POWER(B41,3)-9*B41 +3</f>
        <v>3</v>
      </c>
      <c r="E41" s="6">
        <f t="shared" si="11"/>
        <v>-5</v>
      </c>
      <c r="F41" s="23">
        <f>(B41*E41-C41*D41)/(E41-D41)</f>
        <v>0.375</v>
      </c>
      <c r="G41" s="16">
        <f>POWER(F41,3)-9*F41 +3</f>
        <v>-0.322265625</v>
      </c>
      <c r="H41" s="24">
        <f>D41*G41</f>
        <v>-0.966796875</v>
      </c>
      <c r="I41" s="16">
        <f>E41*G41</f>
        <v>1.611328125</v>
      </c>
      <c r="J41" s="6">
        <f>$B$19</f>
        <v>1E-3</v>
      </c>
      <c r="K41" s="17">
        <f>ABS(G41)</f>
        <v>0.322265625</v>
      </c>
      <c r="L41" s="2" t="str">
        <f>IF(K41&lt;J41, "Fim", " ")</f>
        <v xml:space="preserve"> </v>
      </c>
    </row>
    <row r="42" spans="1:15" customFormat="1">
      <c r="A42" s="6">
        <v>2</v>
      </c>
      <c r="B42" s="6">
        <v>0</v>
      </c>
      <c r="C42" s="23">
        <v>0.375</v>
      </c>
      <c r="D42" s="6">
        <f t="shared" si="11"/>
        <v>3</v>
      </c>
      <c r="E42" s="16">
        <f t="shared" si="11"/>
        <v>-0.322265625</v>
      </c>
      <c r="F42" s="25">
        <f>(B42*E42-C42*D42)/(E42-D42)</f>
        <v>0.33862433862433861</v>
      </c>
      <c r="G42" s="16">
        <f>POWER(F42,3)-9*F42 +3</f>
        <v>-8.7901992943844043E-3</v>
      </c>
      <c r="H42" s="24">
        <f>D42*G42</f>
        <v>-2.6370597883153213E-2</v>
      </c>
      <c r="I42" s="16">
        <f>E42*G42</f>
        <v>2.832779069479349E-3</v>
      </c>
      <c r="J42" s="6">
        <f>$B$19</f>
        <v>1E-3</v>
      </c>
      <c r="K42" s="17">
        <f>ABS(G42)</f>
        <v>8.7901992943844043E-3</v>
      </c>
      <c r="L42" s="2" t="str">
        <f>IF(K42&lt;J42, "Fim", " ")</f>
        <v xml:space="preserve"> </v>
      </c>
    </row>
    <row r="43" spans="1:15" customFormat="1">
      <c r="A43" s="6">
        <v>3</v>
      </c>
      <c r="B43" s="6">
        <v>0</v>
      </c>
      <c r="C43" s="25">
        <v>0.33860000000000001</v>
      </c>
      <c r="D43" s="6">
        <f t="shared" si="11"/>
        <v>3</v>
      </c>
      <c r="E43" s="16">
        <f t="shared" si="11"/>
        <v>-8.5795235440002671E-3</v>
      </c>
      <c r="F43" s="26">
        <f>(B43*E43-C43*D43)/(E43-D43)</f>
        <v>0.33763441918378262</v>
      </c>
      <c r="G43" s="16">
        <f>POWER(F43,3)-9*F43 +3</f>
        <v>-2.2046142678355807E-4</v>
      </c>
      <c r="H43" s="24">
        <f>D43*G43</f>
        <v>-6.613842803506742E-4</v>
      </c>
      <c r="I43" s="16">
        <f>E43*G43</f>
        <v>1.8914540016334275E-6</v>
      </c>
      <c r="J43" s="6">
        <f>$B$19</f>
        <v>1E-3</v>
      </c>
      <c r="K43" s="17">
        <f>ABS(G43)</f>
        <v>2.2046142678355807E-4</v>
      </c>
      <c r="L43" s="2" t="str">
        <f>IF(K43&lt;J43, "Fim", " ")</f>
        <v>Fim</v>
      </c>
    </row>
    <row r="44" spans="1:15" customFormat="1">
      <c r="A44" s="6">
        <v>4</v>
      </c>
      <c r="B44" s="6"/>
      <c r="C44" s="6"/>
      <c r="D44" s="6"/>
      <c r="E44" s="6"/>
      <c r="F44" s="6"/>
      <c r="G44" s="6"/>
      <c r="H44" s="6"/>
      <c r="I44" s="6"/>
      <c r="J44" s="6"/>
      <c r="K44" s="27"/>
      <c r="L44" s="2" t="str">
        <f>IF(K44&lt;J44, "Fim", " ")</f>
        <v xml:space="preserve"> </v>
      </c>
    </row>
    <row r="45" spans="1:15" customFormat="1">
      <c r="A45" s="6">
        <v>5</v>
      </c>
      <c r="B45" s="6"/>
      <c r="C45" s="6"/>
      <c r="D45" s="6"/>
      <c r="E45" s="6"/>
      <c r="F45" s="6"/>
      <c r="G45" s="6"/>
      <c r="H45" s="6"/>
      <c r="I45" s="6"/>
      <c r="J45" s="6"/>
      <c r="K45" s="27"/>
      <c r="L45" s="2" t="str">
        <f>IF(K45&lt;J45, "Fim", " ")</f>
        <v xml:space="preserve"> </v>
      </c>
    </row>
    <row r="46" spans="1:15" customForma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customFormat="1">
      <c r="A47" s="2"/>
      <c r="B47" s="19" t="s">
        <v>20</v>
      </c>
      <c r="C47" s="19"/>
      <c r="D47" s="20" t="s">
        <v>21</v>
      </c>
      <c r="E47" s="21">
        <f>F43</f>
        <v>0.33763441918378262</v>
      </c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customFormat="1">
      <c r="A48" s="2"/>
      <c r="B48" s="2"/>
      <c r="D48" s="20" t="s">
        <v>1</v>
      </c>
      <c r="E48" s="22">
        <f>POWER(E47,3)-9*E47 +3</f>
        <v>-2.2046142678355807E-4</v>
      </c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customForma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customFormat="1">
      <c r="A50" s="2"/>
      <c r="B50" s="2"/>
      <c r="C50" s="2"/>
      <c r="G50" s="2"/>
      <c r="H50" s="2"/>
      <c r="I50" s="2"/>
      <c r="J50" s="2"/>
      <c r="K50" s="5" t="s">
        <v>8</v>
      </c>
      <c r="L50" s="2"/>
    </row>
    <row r="51" spans="1:15" customFormat="1">
      <c r="A51" s="5" t="s">
        <v>9</v>
      </c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8</v>
      </c>
      <c r="H51" s="5" t="s">
        <v>15</v>
      </c>
      <c r="I51" s="5" t="s">
        <v>16</v>
      </c>
      <c r="J51" s="5" t="s">
        <v>17</v>
      </c>
      <c r="K51" s="5" t="s">
        <v>18</v>
      </c>
      <c r="L51" s="2"/>
    </row>
    <row r="52" spans="1:15" customFormat="1">
      <c r="A52" s="6">
        <v>1</v>
      </c>
      <c r="B52" s="28">
        <v>2</v>
      </c>
      <c r="C52" s="28">
        <v>3</v>
      </c>
      <c r="D52" s="16">
        <f t="shared" ref="D52:E56" si="12">POWER(B52,3)-9*B52 +3</f>
        <v>-7</v>
      </c>
      <c r="E52" s="16">
        <f t="shared" si="12"/>
        <v>3</v>
      </c>
      <c r="F52" s="15">
        <f>(B52*E52-C52*D52)/(E52-D52)</f>
        <v>2.7</v>
      </c>
      <c r="G52" s="16">
        <f>POWER(F52,3)-9*F52 +3</f>
        <v>-1.6169999999999973</v>
      </c>
      <c r="H52" s="16">
        <f>D52*G52</f>
        <v>11.318999999999981</v>
      </c>
      <c r="I52" s="16">
        <f>E52*G52</f>
        <v>-4.850999999999992</v>
      </c>
      <c r="J52" s="16">
        <f>$B$19</f>
        <v>1E-3</v>
      </c>
      <c r="K52" s="29">
        <f>ABS(G52)</f>
        <v>1.6169999999999973</v>
      </c>
      <c r="L52" s="2" t="str">
        <f>IF(K52&lt;J52, "Fim", " ")</f>
        <v xml:space="preserve"> </v>
      </c>
    </row>
    <row r="53" spans="1:15" customFormat="1">
      <c r="A53" s="6">
        <v>2</v>
      </c>
      <c r="B53" s="16">
        <f>IF(H52&lt;0,B52,F52)</f>
        <v>2.7</v>
      </c>
      <c r="C53" s="16">
        <f>IF(I52&lt;0,C52,C52)</f>
        <v>3</v>
      </c>
      <c r="D53" s="16">
        <f t="shared" si="12"/>
        <v>-1.6169999999999973</v>
      </c>
      <c r="E53" s="16">
        <f t="shared" si="12"/>
        <v>3</v>
      </c>
      <c r="F53" s="15">
        <f>(B53*E53-C53*D53)/(E53-D53)</f>
        <v>2.8050682261208579</v>
      </c>
      <c r="G53" s="16">
        <f>POWER(F53,3)-9*F53 +3</f>
        <v>-0.17419345644354323</v>
      </c>
      <c r="H53" s="16">
        <f>D53*G53</f>
        <v>0.28167081906920893</v>
      </c>
      <c r="I53" s="16">
        <f>E53*G53</f>
        <v>-0.52258036933062968</v>
      </c>
      <c r="J53" s="16">
        <f>$B$19</f>
        <v>1E-3</v>
      </c>
      <c r="K53" s="29">
        <f>ABS(G53)</f>
        <v>0.17419345644354323</v>
      </c>
      <c r="L53" s="2" t="str">
        <f>IF(K53&lt;J53, "Fim", " ")</f>
        <v xml:space="preserve"> </v>
      </c>
    </row>
    <row r="54" spans="1:15" customFormat="1">
      <c r="A54" s="6">
        <v>3</v>
      </c>
      <c r="B54" s="16">
        <f>IF(H53&lt;0,B53,F53)</f>
        <v>2.8050682261208579</v>
      </c>
      <c r="C54" s="16">
        <f>IF(I53&lt;0,C53,C53)</f>
        <v>3</v>
      </c>
      <c r="D54" s="16">
        <f t="shared" si="12"/>
        <v>-0.17419345644354323</v>
      </c>
      <c r="E54" s="16">
        <f t="shared" si="12"/>
        <v>3</v>
      </c>
      <c r="F54" s="15">
        <f>(B54*E54-C54*D54)/(E54-D54)</f>
        <v>2.8157656961801418</v>
      </c>
      <c r="G54" s="16">
        <f>POWER(F54,3)-9*F54 +3</f>
        <v>-1.6990292508648253E-2</v>
      </c>
      <c r="H54" s="16">
        <f>D54*G54</f>
        <v>2.9595977780682782E-3</v>
      </c>
      <c r="I54" s="16">
        <f>E54*G54</f>
        <v>-5.0970877525944758E-2</v>
      </c>
      <c r="J54" s="16">
        <f>$B$19</f>
        <v>1E-3</v>
      </c>
      <c r="K54" s="29">
        <f>ABS(G54)</f>
        <v>1.6990292508648253E-2</v>
      </c>
      <c r="L54" s="2" t="str">
        <f>IF(K54&lt;J54, "Fim", " ")</f>
        <v xml:space="preserve"> </v>
      </c>
    </row>
    <row r="55" spans="1:15" customFormat="1">
      <c r="A55" s="6">
        <v>4</v>
      </c>
      <c r="B55" s="16">
        <f>IF(H54&lt;0,B54,F54)</f>
        <v>2.8157656961801418</v>
      </c>
      <c r="C55" s="16">
        <f>IF(I54&lt;0,C54,C54)</f>
        <v>3</v>
      </c>
      <c r="D55" s="16">
        <f t="shared" si="12"/>
        <v>-1.6990292508648253E-2</v>
      </c>
      <c r="E55" s="16">
        <f t="shared" si="12"/>
        <v>3</v>
      </c>
      <c r="F55" s="15">
        <f>(B55*E55-C55*D55)/(E55-D55)</f>
        <v>2.816803218481688</v>
      </c>
      <c r="G55" s="16">
        <f>POWER(F55,3)-9*F55 +3</f>
        <v>-1.640798816932687E-3</v>
      </c>
      <c r="H55" s="16">
        <f>D55*G55</f>
        <v>2.7877651847530347E-5</v>
      </c>
      <c r="I55" s="16">
        <f>E55*G55</f>
        <v>-4.9223964507980611E-3</v>
      </c>
      <c r="J55" s="16">
        <f>$B$19</f>
        <v>1E-3</v>
      </c>
      <c r="K55" s="29">
        <f>ABS(G55)</f>
        <v>1.640798816932687E-3</v>
      </c>
      <c r="L55" s="2" t="str">
        <f>IF(K55&lt;J55, "Fim", " ")</f>
        <v xml:space="preserve"> </v>
      </c>
    </row>
    <row r="56" spans="1:15" customFormat="1">
      <c r="A56" s="6">
        <v>5</v>
      </c>
      <c r="B56" s="16">
        <f>IF(H55&lt;0,B55,F55)</f>
        <v>2.816803218481688</v>
      </c>
      <c r="C56" s="16">
        <f>IF(I55&lt;0,C55,C55)</f>
        <v>3</v>
      </c>
      <c r="D56" s="16">
        <f t="shared" si="12"/>
        <v>-1.640798816932687E-3</v>
      </c>
      <c r="E56" s="16">
        <f t="shared" si="12"/>
        <v>3</v>
      </c>
      <c r="F56" s="15">
        <f>(B56*E56-C56*D56)/(E56-D56)</f>
        <v>2.8169033600650843</v>
      </c>
      <c r="G56" s="16">
        <f>POWER(F56,3)-9*F56 +3</f>
        <v>-1.5830408188222123E-4</v>
      </c>
      <c r="H56" s="16">
        <f>D56*G56</f>
        <v>2.5974515026796381E-7</v>
      </c>
      <c r="I56" s="16">
        <f>E56*G56</f>
        <v>-4.7491224564666368E-4</v>
      </c>
      <c r="J56" s="16">
        <f>$B$19</f>
        <v>1E-3</v>
      </c>
      <c r="K56" s="29">
        <f>ABS(G56)</f>
        <v>1.5830408188222123E-4</v>
      </c>
      <c r="L56" s="2" t="str">
        <f>IF(K56&lt;J56, "Fim", " ")</f>
        <v>Fim</v>
      </c>
    </row>
    <row r="58" spans="1:15" customFormat="1">
      <c r="A58" s="2"/>
      <c r="B58" s="19" t="s">
        <v>20</v>
      </c>
      <c r="C58" s="19"/>
      <c r="D58" s="20" t="s">
        <v>21</v>
      </c>
      <c r="E58" s="21">
        <f>F56</f>
        <v>2.8169033600650843</v>
      </c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customFormat="1">
      <c r="A59" s="2"/>
      <c r="B59" s="2"/>
      <c r="D59" s="20" t="s">
        <v>1</v>
      </c>
      <c r="E59" s="22">
        <f>POWER(E58,3)-9*E58 +3</f>
        <v>-1.5830408188222123E-4</v>
      </c>
      <c r="F59" s="2"/>
      <c r="G59" s="2"/>
      <c r="H59" s="2"/>
      <c r="I59" s="2"/>
      <c r="J59" s="2"/>
      <c r="K59" s="2"/>
      <c r="L59" s="2"/>
      <c r="M59" s="2"/>
      <c r="N59" s="2"/>
      <c r="O59" s="2"/>
    </row>
  </sheetData>
  <conditionalFormatting sqref="F28:F34 H28:H34 K52:L56">
    <cfRule type="cellIs" dxfId="2" priority="1" stopIfTrue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2070-1677-45F3-857D-CCA32A4CA63A}">
  <dimension ref="A2:L58"/>
  <sheetViews>
    <sheetView tabSelected="1" topLeftCell="A5" workbookViewId="0">
      <selection activeCell="O37" sqref="O37"/>
    </sheetView>
  </sheetViews>
  <sheetFormatPr defaultRowHeight="14.4"/>
  <cols>
    <col min="1" max="1" width="5.44140625" customWidth="1"/>
    <col min="2" max="2" width="9.5546875" customWidth="1"/>
    <col min="3" max="3" width="7.5546875" customWidth="1"/>
    <col min="4" max="4" width="9" customWidth="1"/>
    <col min="5" max="5" width="8.77734375" customWidth="1"/>
    <col min="6" max="6" width="8.33203125" customWidth="1"/>
    <col min="7" max="7" width="7.33203125" customWidth="1"/>
    <col min="8" max="8" width="11.77734375" customWidth="1"/>
    <col min="9" max="9" width="12" customWidth="1"/>
    <col min="10" max="10" width="7.44140625" customWidth="1"/>
    <col min="11" max="11" width="10.33203125" customWidth="1"/>
    <col min="12" max="12" width="5.6640625" customWidth="1"/>
  </cols>
  <sheetData>
    <row r="2" spans="1:4" ht="15.6">
      <c r="A2" s="1" t="s">
        <v>22</v>
      </c>
    </row>
    <row r="4" spans="1:4" ht="16.8">
      <c r="B4" s="4" t="s">
        <v>23</v>
      </c>
      <c r="C4" s="4"/>
      <c r="D4" s="4"/>
    </row>
    <row r="5" spans="1:4" ht="15.6">
      <c r="A5" s="5" t="s">
        <v>3</v>
      </c>
      <c r="B5" s="5" t="s">
        <v>4</v>
      </c>
    </row>
    <row r="6" spans="1:4" ht="15.6">
      <c r="A6" s="6">
        <v>-5</v>
      </c>
      <c r="B6" s="6">
        <f t="shared" ref="B6:B16" si="0">POWER(A6,4) - 26*POWER(A6,2) + 24*A6 + 21</f>
        <v>-124</v>
      </c>
    </row>
    <row r="7" spans="1:4" ht="15.6">
      <c r="A7" s="6">
        <v>-4</v>
      </c>
      <c r="B7" s="6">
        <f t="shared" si="0"/>
        <v>-235</v>
      </c>
    </row>
    <row r="8" spans="1:4" ht="15.6">
      <c r="A8" s="6">
        <v>-3</v>
      </c>
      <c r="B8" s="6">
        <f t="shared" si="0"/>
        <v>-204</v>
      </c>
    </row>
    <row r="9" spans="1:4" ht="15.6">
      <c r="A9" s="6">
        <v>-2</v>
      </c>
      <c r="B9" s="6">
        <f t="shared" si="0"/>
        <v>-115</v>
      </c>
    </row>
    <row r="10" spans="1:4" ht="15.6">
      <c r="A10" s="30">
        <v>-1</v>
      </c>
      <c r="B10" s="30">
        <f t="shared" si="0"/>
        <v>-28</v>
      </c>
    </row>
    <row r="11" spans="1:4" ht="15.6">
      <c r="A11" s="30">
        <v>0</v>
      </c>
      <c r="B11" s="30">
        <f t="shared" si="0"/>
        <v>21</v>
      </c>
    </row>
    <row r="12" spans="1:4" ht="15.6">
      <c r="A12" s="8">
        <v>1</v>
      </c>
      <c r="B12" s="8">
        <f t="shared" si="0"/>
        <v>20</v>
      </c>
    </row>
    <row r="13" spans="1:4" ht="15.6">
      <c r="A13" s="8">
        <v>2</v>
      </c>
      <c r="B13" s="8">
        <f t="shared" si="0"/>
        <v>-19</v>
      </c>
    </row>
    <row r="14" spans="1:4" ht="15.6">
      <c r="A14" s="6">
        <v>3</v>
      </c>
      <c r="B14" s="6">
        <f t="shared" si="0"/>
        <v>-60</v>
      </c>
    </row>
    <row r="15" spans="1:4" ht="15.6">
      <c r="A15" s="31">
        <v>4</v>
      </c>
      <c r="B15" s="31">
        <f t="shared" si="0"/>
        <v>-43</v>
      </c>
    </row>
    <row r="16" spans="1:4" ht="15.6">
      <c r="A16" s="31">
        <v>5</v>
      </c>
      <c r="B16" s="31">
        <f t="shared" si="0"/>
        <v>116</v>
      </c>
    </row>
    <row r="19" spans="1:12">
      <c r="A19" s="32" t="s">
        <v>5</v>
      </c>
      <c r="B19" s="32">
        <v>0.01</v>
      </c>
    </row>
    <row r="23" spans="1:12">
      <c r="A23" s="33"/>
    </row>
    <row r="24" spans="1:12">
      <c r="A24" s="33"/>
    </row>
    <row r="25" spans="1:12">
      <c r="A25" s="34" t="str">
        <f>CONCATENATE("Intervalo [",B28,",",C28,"]")</f>
        <v>Intervalo [-1,0]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</row>
    <row r="26" spans="1:12">
      <c r="K26" s="36" t="s">
        <v>8</v>
      </c>
    </row>
    <row r="27" spans="1:12">
      <c r="A27" s="36" t="s">
        <v>9</v>
      </c>
      <c r="B27" s="36" t="s">
        <v>10</v>
      </c>
      <c r="C27" s="36" t="s">
        <v>11</v>
      </c>
      <c r="D27" s="36" t="s">
        <v>14</v>
      </c>
      <c r="E27" s="36" t="s">
        <v>8</v>
      </c>
      <c r="F27" s="36" t="s">
        <v>12</v>
      </c>
      <c r="G27" s="36" t="s">
        <v>13</v>
      </c>
      <c r="H27" s="36" t="s">
        <v>15</v>
      </c>
      <c r="I27" s="36" t="s">
        <v>16</v>
      </c>
      <c r="J27" s="36" t="s">
        <v>17</v>
      </c>
      <c r="K27" s="36" t="s">
        <v>18</v>
      </c>
      <c r="L27" s="36" t="s">
        <v>24</v>
      </c>
    </row>
    <row r="28" spans="1:12">
      <c r="A28" s="37">
        <v>1</v>
      </c>
      <c r="B28" s="37">
        <v>-1</v>
      </c>
      <c r="C28" s="37">
        <v>0</v>
      </c>
      <c r="D28" s="38">
        <f>(B28*G28-C28*F28)/(G28-F28)</f>
        <v>-0.42857142857142855</v>
      </c>
      <c r="E28" s="39">
        <f>POWER(D28,4) - 26*POWER(D28,2) + 24*D28 + 21</f>
        <v>5.9725114535610189</v>
      </c>
      <c r="F28" s="37">
        <f t="shared" ref="F28:G32" si="1">POWER(B28,4) - 26*POWER(B28,2) + 24*B28 + 21</f>
        <v>-28</v>
      </c>
      <c r="G28" s="37">
        <f t="shared" si="1"/>
        <v>21</v>
      </c>
      <c r="H28" s="39">
        <f>F28*E28</f>
        <v>-167.23032069970853</v>
      </c>
      <c r="I28" s="40">
        <f>G28*E28</f>
        <v>125.4227405247814</v>
      </c>
      <c r="J28" s="37">
        <f>$B$19</f>
        <v>0.01</v>
      </c>
      <c r="K28" s="41">
        <f>ABS(E28)</f>
        <v>5.9725114535610189</v>
      </c>
      <c r="L28" t="str">
        <f>IF(K28&lt;J28, "Fim", " ")</f>
        <v xml:space="preserve"> </v>
      </c>
    </row>
    <row r="29" spans="1:12">
      <c r="A29" s="37">
        <v>2</v>
      </c>
      <c r="B29" s="37">
        <v>-1</v>
      </c>
      <c r="C29" s="37">
        <v>-0.42857142857142899</v>
      </c>
      <c r="D29" s="38">
        <f>(B29*G29-C29*F29)/(G29-F29)</f>
        <v>-0.52903099254609665</v>
      </c>
      <c r="E29" s="39">
        <f>POWER(D29,4) - 26*POWER(D29,2) + 24*D29 + 21</f>
        <v>1.1048669498919708</v>
      </c>
      <c r="F29" s="37">
        <f t="shared" si="1"/>
        <v>-28</v>
      </c>
      <c r="G29" s="37">
        <f t="shared" si="1"/>
        <v>5.9725114535609976</v>
      </c>
      <c r="H29" s="39">
        <f>F29*E29</f>
        <v>-30.936274596975181</v>
      </c>
      <c r="I29" s="40">
        <f>G29*E29</f>
        <v>6.5988305128908005</v>
      </c>
      <c r="J29" s="37">
        <f>$B$19</f>
        <v>0.01</v>
      </c>
      <c r="K29" s="41">
        <f>ABS(E29)</f>
        <v>1.1048669498919708</v>
      </c>
      <c r="L29" t="str">
        <f>IF(K29&lt;J29, "Fim", " ")</f>
        <v xml:space="preserve"> </v>
      </c>
    </row>
    <row r="30" spans="1:12">
      <c r="A30" s="37">
        <v>3</v>
      </c>
      <c r="B30" s="37">
        <v>-1</v>
      </c>
      <c r="C30" s="37">
        <v>-0.52903099254609698</v>
      </c>
      <c r="D30" s="38">
        <f>(B30*G30-C30*F30)/(G30-F30)</f>
        <v>-0.54690972367567414</v>
      </c>
      <c r="E30" s="39">
        <f>POWER(D30,4) - 26*POWER(D30,2) + 24*D30 + 21</f>
        <v>0.1867671788308094</v>
      </c>
      <c r="F30" s="37">
        <f t="shared" si="1"/>
        <v>-28</v>
      </c>
      <c r="G30" s="37">
        <f t="shared" si="1"/>
        <v>1.1048669498919566</v>
      </c>
      <c r="H30" s="39">
        <f>F30*E30</f>
        <v>-5.2294810072626632</v>
      </c>
      <c r="I30" s="40">
        <f>G30*E30</f>
        <v>0.20635288321472198</v>
      </c>
      <c r="J30" s="37">
        <f>$B$19</f>
        <v>0.01</v>
      </c>
      <c r="K30" s="41">
        <f>ABS(E30)</f>
        <v>0.1867671788308094</v>
      </c>
      <c r="L30" t="str">
        <f>IF(K30&lt;J30, "Fim", " ")</f>
        <v xml:space="preserve"> </v>
      </c>
    </row>
    <row r="31" spans="1:12">
      <c r="A31" s="37">
        <v>4</v>
      </c>
      <c r="B31" s="37">
        <v>-1</v>
      </c>
      <c r="C31" s="37">
        <v>-0.54690972367567403</v>
      </c>
      <c r="D31" s="38">
        <f>(B31*G31-C31*F31)/(G31-F31)</f>
        <v>-0.54991192652241705</v>
      </c>
      <c r="E31" s="39">
        <f>POWER(D31,4) - 26*POWER(D31,2) + 24*D31 + 21</f>
        <v>3.1080114418497118E-2</v>
      </c>
      <c r="F31" s="37">
        <f t="shared" si="1"/>
        <v>-28</v>
      </c>
      <c r="G31" s="37">
        <f t="shared" si="1"/>
        <v>0.18676717883081295</v>
      </c>
      <c r="H31" s="39">
        <f>F31*E31</f>
        <v>-0.8702432037179193</v>
      </c>
      <c r="I31" s="40">
        <f>G31*E31</f>
        <v>5.8047452876815791E-3</v>
      </c>
      <c r="J31" s="37">
        <f>$B$19</f>
        <v>0.01</v>
      </c>
      <c r="K31" s="41">
        <f>ABS(E31)</f>
        <v>3.1080114418497118E-2</v>
      </c>
      <c r="L31" t="str">
        <f>IF(K31&lt;J31, "Fim", " ")</f>
        <v xml:space="preserve"> </v>
      </c>
    </row>
    <row r="32" spans="1:12">
      <c r="A32" s="37">
        <v>5</v>
      </c>
      <c r="B32" s="37">
        <v>-1</v>
      </c>
      <c r="C32" s="37">
        <v>-0.54991192652241705</v>
      </c>
      <c r="D32" s="38">
        <f>(B32*G32-C32*F32)/(G32-F32)</f>
        <v>-0.55041097218048607</v>
      </c>
      <c r="E32" s="39">
        <f>POWER(D32,4) - 26*POWER(D32,2) + 24*D32 + 21</f>
        <v>5.1585306439321243E-3</v>
      </c>
      <c r="F32" s="37">
        <f t="shared" si="1"/>
        <v>-28</v>
      </c>
      <c r="G32" s="37">
        <f t="shared" si="1"/>
        <v>3.1080114418497118E-2</v>
      </c>
      <c r="H32" s="39">
        <f>F32*E32</f>
        <v>-0.14443885803009948</v>
      </c>
      <c r="I32" s="40">
        <f>G32*E32</f>
        <v>1.6032772264473405E-4</v>
      </c>
      <c r="J32" s="37">
        <f>$B$19</f>
        <v>0.01</v>
      </c>
      <c r="K32" s="41">
        <f>ABS(E32)</f>
        <v>5.1585306439321243E-3</v>
      </c>
      <c r="L32" t="str">
        <f>IF(K32&lt;J32, "Fim", " ")</f>
        <v>Fim</v>
      </c>
    </row>
    <row r="34" spans="1:12">
      <c r="B34" s="33" t="s">
        <v>20</v>
      </c>
      <c r="C34" s="42">
        <f>D32</f>
        <v>-0.55041097218048607</v>
      </c>
    </row>
    <row r="36" spans="1:12">
      <c r="A36" s="34" t="str">
        <f>CONCATENATE("Intervalo [",B39,",",C39,"]")</f>
        <v>Intervalo [1,2]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</row>
    <row r="37" spans="1:12">
      <c r="K37" s="36" t="s">
        <v>8</v>
      </c>
    </row>
    <row r="38" spans="1:12">
      <c r="A38" s="36" t="s">
        <v>9</v>
      </c>
      <c r="B38" s="36" t="s">
        <v>10</v>
      </c>
      <c r="C38" s="36" t="s">
        <v>11</v>
      </c>
      <c r="D38" s="36" t="s">
        <v>14</v>
      </c>
      <c r="E38" s="36" t="s">
        <v>8</v>
      </c>
      <c r="F38" s="36" t="s">
        <v>12</v>
      </c>
      <c r="G38" s="36" t="s">
        <v>13</v>
      </c>
      <c r="H38" s="36" t="s">
        <v>15</v>
      </c>
      <c r="I38" s="36" t="s">
        <v>16</v>
      </c>
      <c r="J38" s="36" t="s">
        <v>17</v>
      </c>
      <c r="K38" s="36" t="s">
        <v>18</v>
      </c>
      <c r="L38" s="36" t="s">
        <v>24</v>
      </c>
    </row>
    <row r="39" spans="1:12">
      <c r="A39" s="37">
        <v>1</v>
      </c>
      <c r="B39" s="37">
        <v>1</v>
      </c>
      <c r="C39" s="37">
        <v>2</v>
      </c>
      <c r="D39" s="38">
        <f>(B39*G39-C39*F39)/(G39-F39)</f>
        <v>1.5128205128205128</v>
      </c>
      <c r="E39" s="39">
        <f>POWER(D39,4) - 26*POWER(D39,2) + 24*D39 + 21</f>
        <v>3.0412273319267698</v>
      </c>
      <c r="F39" s="37">
        <f t="shared" ref="F39:G42" si="2">POWER(B39,4) - 26*POWER(B39,2) + 24*B39 + 21</f>
        <v>20</v>
      </c>
      <c r="G39" s="37">
        <f t="shared" si="2"/>
        <v>-19</v>
      </c>
      <c r="H39" s="39">
        <f>F39*E39</f>
        <v>60.824546638535395</v>
      </c>
      <c r="I39" s="43">
        <f>G39*E39</f>
        <v>-57.783319306608625</v>
      </c>
      <c r="J39" s="37">
        <f>$B$19</f>
        <v>0.01</v>
      </c>
      <c r="K39" s="41">
        <f>ABS(E39)</f>
        <v>3.0412273319267698</v>
      </c>
      <c r="L39" t="str">
        <f>IF(K39&lt;J39, "Fim", " ")</f>
        <v xml:space="preserve"> </v>
      </c>
    </row>
    <row r="40" spans="1:12">
      <c r="A40" s="37">
        <v>2</v>
      </c>
      <c r="B40" s="44">
        <v>1.5129999999999999</v>
      </c>
      <c r="C40" s="37">
        <v>2</v>
      </c>
      <c r="D40" s="45">
        <f>(B40*G40-C40*F40)/(G40-F40)</f>
        <v>1.5800561996920965</v>
      </c>
      <c r="E40" s="39">
        <f>POWER(D40,4) - 26*POWER(D40,2) + 24*D40 + 21</f>
        <v>0.24323102757782777</v>
      </c>
      <c r="F40" s="40">
        <f t="shared" si="2"/>
        <v>3.0339007105609994</v>
      </c>
      <c r="G40" s="37">
        <f t="shared" si="2"/>
        <v>-19</v>
      </c>
      <c r="H40" s="39">
        <f>F40*E40</f>
        <v>0.73793878739885377</v>
      </c>
      <c r="I40" s="43">
        <f>G40*E40</f>
        <v>-4.6213895239787277</v>
      </c>
      <c r="J40" s="37">
        <f>$B$19</f>
        <v>0.01</v>
      </c>
      <c r="K40" s="41">
        <f>ABS(E40)</f>
        <v>0.24323102757782777</v>
      </c>
      <c r="L40" t="str">
        <f>IF(K40&lt;J40, "Fim", " ")</f>
        <v xml:space="preserve"> </v>
      </c>
    </row>
    <row r="41" spans="1:12">
      <c r="A41" s="37">
        <v>3</v>
      </c>
      <c r="B41" s="45">
        <v>1.58</v>
      </c>
      <c r="C41" s="37">
        <v>2</v>
      </c>
      <c r="D41" s="38">
        <f>(B41*G41-C41*F41)/(G41-F41)</f>
        <v>1.5853600497637776</v>
      </c>
      <c r="E41" s="39">
        <f>POWER(D41,4) - 26*POWER(D41,2) + 24*D41 + 21</f>
        <v>1.8123622188575439E-2</v>
      </c>
      <c r="F41" s="40">
        <f t="shared" si="2"/>
        <v>0.24561296000000254</v>
      </c>
      <c r="G41" s="37">
        <f t="shared" si="2"/>
        <v>-19</v>
      </c>
      <c r="H41" s="39">
        <f>F41*E41</f>
        <v>4.4513964916577378E-3</v>
      </c>
      <c r="I41" s="43">
        <f>G41*E41</f>
        <v>-0.34434882158293334</v>
      </c>
      <c r="J41" s="37">
        <f>$B$19</f>
        <v>0.01</v>
      </c>
      <c r="K41" s="41">
        <f>ABS(E41)</f>
        <v>1.8123622188575439E-2</v>
      </c>
      <c r="L41" t="str">
        <f>IF(K41&lt;J41, "Fim", " ")</f>
        <v xml:space="preserve"> </v>
      </c>
    </row>
    <row r="42" spans="1:12">
      <c r="A42" s="37">
        <v>4</v>
      </c>
      <c r="B42" s="38">
        <v>1.585</v>
      </c>
      <c r="C42" s="37">
        <v>2</v>
      </c>
      <c r="D42" s="45">
        <f>(B42*G42-C42*F42)/(G42-F42)</f>
        <v>1.5857287783155027</v>
      </c>
      <c r="E42" s="39">
        <f>POWER(D42,4) - 26*POWER(D42,2) + 24*D42 + 21</f>
        <v>2.4510419061769539E-3</v>
      </c>
      <c r="F42" s="40">
        <f t="shared" si="2"/>
        <v>3.3424450625005875E-2</v>
      </c>
      <c r="G42" s="37">
        <f t="shared" si="2"/>
        <v>-19</v>
      </c>
      <c r="H42" s="39">
        <f>F42*E42</f>
        <v>8.192472917283188E-5</v>
      </c>
      <c r="I42" s="43">
        <f>G42*E42</f>
        <v>-4.6569796217362125E-2</v>
      </c>
      <c r="J42" s="37">
        <f>$B$19</f>
        <v>0.01</v>
      </c>
      <c r="K42" s="41">
        <f>ABS(E42)</f>
        <v>2.4510419061769539E-3</v>
      </c>
      <c r="L42" t="str">
        <f>IF(K42&lt;J42, "Fim", " ")</f>
        <v>Fim</v>
      </c>
    </row>
    <row r="44" spans="1:12">
      <c r="B44" s="33" t="s">
        <v>20</v>
      </c>
      <c r="C44" s="46">
        <v>1.585</v>
      </c>
    </row>
    <row r="45" spans="1:12">
      <c r="B45" s="33"/>
    </row>
    <row r="46" spans="1:12">
      <c r="A46" s="34" t="str">
        <f>CONCATENATE("Intervalo [",B49,",",C49,"]")</f>
        <v>Intervalo [4,5]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</row>
    <row r="47" spans="1:12">
      <c r="K47" s="36" t="s">
        <v>8</v>
      </c>
    </row>
    <row r="48" spans="1:12">
      <c r="A48" s="36" t="s">
        <v>9</v>
      </c>
      <c r="B48" s="36" t="s">
        <v>10</v>
      </c>
      <c r="C48" s="36" t="s">
        <v>11</v>
      </c>
      <c r="D48" s="36" t="s">
        <v>14</v>
      </c>
      <c r="E48" s="36" t="s">
        <v>8</v>
      </c>
      <c r="F48" s="36" t="s">
        <v>12</v>
      </c>
      <c r="G48" s="36" t="s">
        <v>13</v>
      </c>
      <c r="H48" s="36" t="s">
        <v>15</v>
      </c>
      <c r="I48" s="36" t="s">
        <v>16</v>
      </c>
      <c r="J48" s="36" t="s">
        <v>17</v>
      </c>
      <c r="K48" s="36" t="s">
        <v>18</v>
      </c>
      <c r="L48" s="36" t="s">
        <v>24</v>
      </c>
    </row>
    <row r="49" spans="1:12">
      <c r="A49" s="37">
        <v>1</v>
      </c>
      <c r="B49" s="37">
        <v>4</v>
      </c>
      <c r="C49" s="37">
        <v>5</v>
      </c>
      <c r="D49" s="38">
        <f t="shared" ref="D49:D56" si="3">(B49*G49-C49*F49)/(G49-F49)</f>
        <v>4.2704402515723272</v>
      </c>
      <c r="E49" s="39">
        <f t="shared" ref="E49:E56" si="4">POWER(D49,4) - 26*POWER(D49,2) + 24*D49 + 21</f>
        <v>-18.086826611507547</v>
      </c>
      <c r="F49" s="37">
        <f t="shared" ref="F49:G56" si="5">POWER(B49,4) - 26*POWER(B49,2) + 24*B49 + 21</f>
        <v>-43</v>
      </c>
      <c r="G49" s="37">
        <f t="shared" si="5"/>
        <v>116</v>
      </c>
      <c r="H49" s="39">
        <f t="shared" ref="H49:H56" si="6">F49*E49</f>
        <v>777.73354429482447</v>
      </c>
      <c r="I49" s="40">
        <f t="shared" ref="I49:I56" si="7">G49*E49</f>
        <v>-2098.0718869348757</v>
      </c>
      <c r="J49" s="37">
        <f t="shared" ref="J49:J56" si="8">$B$19</f>
        <v>0.01</v>
      </c>
      <c r="K49" s="41">
        <f t="shared" ref="K49:K56" si="9">ABS(E49)</f>
        <v>18.086826611507547</v>
      </c>
      <c r="L49" t="str">
        <f t="shared" ref="L49:L56" si="10">IF(K49&lt;J49, "Fim", " ")</f>
        <v xml:space="preserve"> </v>
      </c>
    </row>
    <row r="50" spans="1:12">
      <c r="A50" s="37">
        <v>2</v>
      </c>
      <c r="B50" s="39">
        <v>4.2704402515723299</v>
      </c>
      <c r="C50" s="37">
        <v>5</v>
      </c>
      <c r="D50" s="38">
        <f t="shared" si="3"/>
        <v>4.3688497747597008</v>
      </c>
      <c r="E50" s="39">
        <f t="shared" si="4"/>
        <v>-6.0978825160874379</v>
      </c>
      <c r="F50" s="37">
        <f t="shared" si="5"/>
        <v>-18.086826611507306</v>
      </c>
      <c r="G50" s="37">
        <f t="shared" si="5"/>
        <v>116</v>
      </c>
      <c r="H50" s="39">
        <f t="shared" si="6"/>
        <v>110.2913437658154</v>
      </c>
      <c r="I50" s="40">
        <f t="shared" si="7"/>
        <v>-707.35437186614286</v>
      </c>
      <c r="J50" s="37">
        <f t="shared" si="8"/>
        <v>0.01</v>
      </c>
      <c r="K50" s="41">
        <f t="shared" si="9"/>
        <v>6.0978825160874379</v>
      </c>
      <c r="L50" t="str">
        <f t="shared" si="10"/>
        <v xml:space="preserve"> </v>
      </c>
    </row>
    <row r="51" spans="1:12">
      <c r="A51" s="37">
        <v>3</v>
      </c>
      <c r="B51" s="39">
        <v>4.3688497747596999</v>
      </c>
      <c r="C51" s="37">
        <v>5</v>
      </c>
      <c r="D51" s="38">
        <f t="shared" si="3"/>
        <v>4.400371041502475</v>
      </c>
      <c r="E51" s="39">
        <f t="shared" si="4"/>
        <v>-1.8999496889312866</v>
      </c>
      <c r="F51" s="37">
        <f t="shared" si="5"/>
        <v>-6.0978825160875658</v>
      </c>
      <c r="G51" s="37">
        <f t="shared" si="5"/>
        <v>116</v>
      </c>
      <c r="H51" s="39">
        <f t="shared" si="6"/>
        <v>11.585669989580103</v>
      </c>
      <c r="I51" s="40">
        <f t="shared" si="7"/>
        <v>-220.39416391602924</v>
      </c>
      <c r="J51" s="37">
        <f t="shared" si="8"/>
        <v>0.01</v>
      </c>
      <c r="K51" s="41">
        <f t="shared" si="9"/>
        <v>1.8999496889312866</v>
      </c>
      <c r="L51" t="str">
        <f t="shared" si="10"/>
        <v xml:space="preserve"> </v>
      </c>
    </row>
    <row r="52" spans="1:12">
      <c r="A52" s="37">
        <v>4</v>
      </c>
      <c r="B52" s="39">
        <v>4.4003710415024804</v>
      </c>
      <c r="C52" s="37">
        <v>5</v>
      </c>
      <c r="D52" s="38">
        <f t="shared" si="3"/>
        <v>4.4100340214797997</v>
      </c>
      <c r="E52" s="39">
        <f t="shared" si="4"/>
        <v>-0.57732001385085141</v>
      </c>
      <c r="F52" s="37">
        <f t="shared" si="5"/>
        <v>-1.8999496889306045</v>
      </c>
      <c r="G52" s="37">
        <f t="shared" si="5"/>
        <v>116</v>
      </c>
      <c r="H52" s="39">
        <f t="shared" si="6"/>
        <v>1.0968789807293373</v>
      </c>
      <c r="I52" s="40">
        <f t="shared" si="7"/>
        <v>-66.969121606698764</v>
      </c>
      <c r="J52" s="37">
        <f t="shared" si="8"/>
        <v>0.01</v>
      </c>
      <c r="K52" s="41">
        <f t="shared" si="9"/>
        <v>0.57732001385085141</v>
      </c>
      <c r="L52" t="str">
        <f t="shared" si="10"/>
        <v xml:space="preserve"> </v>
      </c>
    </row>
    <row r="53" spans="1:12">
      <c r="A53" s="37">
        <v>5</v>
      </c>
      <c r="B53" s="39">
        <v>4.4100340214797997</v>
      </c>
      <c r="C53" s="37">
        <v>5</v>
      </c>
      <c r="D53" s="38">
        <f t="shared" si="3"/>
        <v>4.4129556803998229</v>
      </c>
      <c r="E53" s="39">
        <f t="shared" si="4"/>
        <v>-0.17408500306135011</v>
      </c>
      <c r="F53" s="37">
        <f t="shared" si="5"/>
        <v>-0.57732001385085141</v>
      </c>
      <c r="G53" s="37">
        <f t="shared" si="5"/>
        <v>116</v>
      </c>
      <c r="H53" s="39">
        <f t="shared" si="6"/>
        <v>0.10050275637860416</v>
      </c>
      <c r="I53" s="40">
        <f t="shared" si="7"/>
        <v>-20.193860355116612</v>
      </c>
      <c r="J53" s="37">
        <f t="shared" si="8"/>
        <v>0.01</v>
      </c>
      <c r="K53" s="41">
        <f t="shared" si="9"/>
        <v>0.17408500306135011</v>
      </c>
      <c r="L53" t="str">
        <f t="shared" si="10"/>
        <v xml:space="preserve"> </v>
      </c>
    </row>
    <row r="54" spans="1:12">
      <c r="A54" s="37">
        <v>6</v>
      </c>
      <c r="B54" s="39">
        <v>4.4129556803998202</v>
      </c>
      <c r="C54" s="37">
        <v>5</v>
      </c>
      <c r="D54" s="38">
        <f t="shared" si="3"/>
        <v>4.4138353568971418</v>
      </c>
      <c r="E54" s="39">
        <f t="shared" si="4"/>
        <v>-5.2372111910443664E-2</v>
      </c>
      <c r="F54" s="37">
        <f t="shared" si="5"/>
        <v>-0.17408500306170538</v>
      </c>
      <c r="G54" s="37">
        <f t="shared" si="5"/>
        <v>116</v>
      </c>
      <c r="H54" s="39">
        <f t="shared" si="6"/>
        <v>9.117199262277562E-3</v>
      </c>
      <c r="I54" s="40">
        <f t="shared" si="7"/>
        <v>-6.075164981611465</v>
      </c>
      <c r="J54" s="37">
        <f t="shared" si="8"/>
        <v>0.01</v>
      </c>
      <c r="K54" s="41">
        <f t="shared" si="9"/>
        <v>5.2372111910443664E-2</v>
      </c>
      <c r="L54" t="str">
        <f t="shared" si="10"/>
        <v xml:space="preserve"> </v>
      </c>
    </row>
    <row r="55" spans="1:12">
      <c r="A55" s="37">
        <v>7</v>
      </c>
      <c r="B55" s="39">
        <v>4.41383535689714</v>
      </c>
      <c r="C55" s="37">
        <v>5</v>
      </c>
      <c r="D55" s="38">
        <f t="shared" si="3"/>
        <v>4.4140998812642689</v>
      </c>
      <c r="E55" s="39">
        <f t="shared" si="4"/>
        <v>-1.5744757778790586E-2</v>
      </c>
      <c r="F55" s="37">
        <f t="shared" si="5"/>
        <v>-5.237211191071367E-2</v>
      </c>
      <c r="G55" s="37">
        <f t="shared" si="5"/>
        <v>116</v>
      </c>
      <c r="H55" s="39">
        <f t="shared" si="6"/>
        <v>8.2458621639790012E-4</v>
      </c>
      <c r="I55" s="40">
        <f t="shared" si="7"/>
        <v>-1.8263919023397079</v>
      </c>
      <c r="J55" s="37">
        <f t="shared" si="8"/>
        <v>0.01</v>
      </c>
      <c r="K55" s="41">
        <f t="shared" si="9"/>
        <v>1.5744757778790586E-2</v>
      </c>
      <c r="L55" t="str">
        <f t="shared" si="10"/>
        <v xml:space="preserve"> </v>
      </c>
    </row>
    <row r="56" spans="1:12">
      <c r="A56" s="37">
        <v>8</v>
      </c>
      <c r="B56" s="39">
        <v>4.4140998812642698</v>
      </c>
      <c r="C56" s="37">
        <v>5</v>
      </c>
      <c r="D56" s="38">
        <f t="shared" si="3"/>
        <v>4.4141793950877704</v>
      </c>
      <c r="E56" s="39">
        <f t="shared" si="4"/>
        <v>-4.7323932166420946E-3</v>
      </c>
      <c r="F56" s="37">
        <f t="shared" si="5"/>
        <v>-1.5744757778719531E-2</v>
      </c>
      <c r="G56" s="37">
        <f t="shared" si="5"/>
        <v>116</v>
      </c>
      <c r="H56" s="39">
        <f t="shared" si="6"/>
        <v>7.4510384909685169E-5</v>
      </c>
      <c r="I56" s="40">
        <f t="shared" si="7"/>
        <v>-0.54895761313048297</v>
      </c>
      <c r="J56" s="37">
        <f t="shared" si="8"/>
        <v>0.01</v>
      </c>
      <c r="K56" s="41">
        <f t="shared" si="9"/>
        <v>4.7323932166420946E-3</v>
      </c>
      <c r="L56" t="str">
        <f t="shared" si="10"/>
        <v>Fim</v>
      </c>
    </row>
    <row r="58" spans="1:12">
      <c r="B58" s="33" t="s">
        <v>20</v>
      </c>
      <c r="C58" s="42">
        <f>D56</f>
        <v>4.4141793950877704</v>
      </c>
    </row>
  </sheetData>
  <conditionalFormatting sqref="H28:I32">
    <cfRule type="cellIs" dxfId="1" priority="1" stopIfTrue="1" operator="lessThan">
      <formula>0</formula>
    </cfRule>
  </conditionalFormatting>
  <conditionalFormatting sqref="H49:I56">
    <cfRule type="cellIs" dxfId="0" priority="2" stopIfTrue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Ex_3</vt:lpstr>
      <vt:lpstr>Ex_4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Bertinetti</dc:creator>
  <cp:lastModifiedBy>Lucas Bertinetti</cp:lastModifiedBy>
  <dcterms:created xsi:type="dcterms:W3CDTF">2015-06-05T18:19:34Z</dcterms:created>
  <dcterms:modified xsi:type="dcterms:W3CDTF">2024-09-04T17:24:32Z</dcterms:modified>
</cp:coreProperties>
</file>