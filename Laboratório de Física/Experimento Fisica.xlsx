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êndulo " sheetId="1" r:id="rId5"/>
    <sheet state="visible" name="hooke mola 1" sheetId="2" r:id="rId6"/>
    <sheet state="visible" name="hooke mola 2" sheetId="3" r:id="rId7"/>
  </sheets>
  <definedNames/>
  <calcPr/>
</workbook>
</file>

<file path=xl/sharedStrings.xml><?xml version="1.0" encoding="utf-8"?>
<sst xmlns="http://schemas.openxmlformats.org/spreadsheetml/2006/main" count="263" uniqueCount="97">
  <si>
    <t>Régua</t>
  </si>
  <si>
    <t>Tempo (s) para 10 oscilações</t>
  </si>
  <si>
    <t>Erro régua</t>
  </si>
  <si>
    <t>massa barra</t>
  </si>
  <si>
    <t>L (cm)</t>
  </si>
  <si>
    <t>t1</t>
  </si>
  <si>
    <t>t2</t>
  </si>
  <si>
    <t>t3</t>
  </si>
  <si>
    <t>Erro dinamômetro</t>
  </si>
  <si>
    <t>comp. Régua (m)</t>
  </si>
  <si>
    <t>Erro cronometro</t>
  </si>
  <si>
    <t>Número de tempos</t>
  </si>
  <si>
    <t>Número de medidas</t>
  </si>
  <si>
    <t>Tempo (s) para 1 oscilações</t>
  </si>
  <si>
    <t>Yi</t>
  </si>
  <si>
    <r>
      <rPr>
        <rFont val="Calibri"/>
        <b/>
        <color theme="0"/>
        <sz val="10.0"/>
      </rPr>
      <t>∆</t>
    </r>
    <r>
      <rPr>
        <rFont val="Arial"/>
        <b/>
        <color theme="0"/>
        <sz val="11.0"/>
      </rPr>
      <t>Yi</t>
    </r>
    <r>
      <rPr>
        <rFont val="Arial"/>
        <b/>
        <color theme="0"/>
        <sz val="10.0"/>
      </rPr>
      <t>²</t>
    </r>
  </si>
  <si>
    <t>∆Yi</t>
  </si>
  <si>
    <t>Desvio padrão</t>
  </si>
  <si>
    <t>Erro aleatório</t>
  </si>
  <si>
    <t>L (m)</t>
  </si>
  <si>
    <t>T méd</t>
  </si>
  <si>
    <t>ok</t>
  </si>
  <si>
    <t>Calculando X para cada medida</t>
  </si>
  <si>
    <t>erro</t>
  </si>
  <si>
    <t>Xi</t>
  </si>
  <si>
    <t xml:space="preserve"> </t>
  </si>
  <si>
    <t>Erro aleatório + erro de escala</t>
  </si>
  <si>
    <t>Produto</t>
  </si>
  <si>
    <t>Xi²</t>
  </si>
  <si>
    <t>(Yi-A-B*Xi)²</t>
  </si>
  <si>
    <t>Xi * Yi</t>
  </si>
  <si>
    <t>delg/delB</t>
  </si>
  <si>
    <t>Erro propagado ∆g =</t>
  </si>
  <si>
    <t>SOMA</t>
  </si>
  <si>
    <t>A</t>
  </si>
  <si>
    <t>B</t>
  </si>
  <si>
    <t xml:space="preserve">g= </t>
  </si>
  <si>
    <t>σ²</t>
  </si>
  <si>
    <t>σ</t>
  </si>
  <si>
    <t>σ∆a</t>
  </si>
  <si>
    <t>σ∆b</t>
  </si>
  <si>
    <t>a±∆a =</t>
  </si>
  <si>
    <t>±</t>
  </si>
  <si>
    <t>b±∆b =</t>
  </si>
  <si>
    <t>X</t>
  </si>
  <si>
    <t>Y</t>
  </si>
  <si>
    <t>XY</t>
  </si>
  <si>
    <t>X²</t>
  </si>
  <si>
    <t>a+bx</t>
  </si>
  <si>
    <t>∆y²</t>
  </si>
  <si>
    <t>∆y</t>
  </si>
  <si>
    <t>N =</t>
  </si>
  <si>
    <t>a</t>
  </si>
  <si>
    <t>b</t>
  </si>
  <si>
    <t>∆a</t>
  </si>
  <si>
    <t>∆b</t>
  </si>
  <si>
    <t>Pontos ajustados</t>
  </si>
  <si>
    <t>X ajus</t>
  </si>
  <si>
    <t>Y ajus</t>
  </si>
  <si>
    <t>Peso</t>
  </si>
  <si>
    <t xml:space="preserve">distancia </t>
  </si>
  <si>
    <t>massa(g)</t>
  </si>
  <si>
    <t>D1(cm)</t>
  </si>
  <si>
    <t>D2(cm)</t>
  </si>
  <si>
    <t>D3(cm)</t>
  </si>
  <si>
    <t xml:space="preserve">Número de distancia </t>
  </si>
  <si>
    <r>
      <rPr>
        <rFont val="Calibri"/>
        <b/>
        <color rgb="FFFFFFFF"/>
        <sz val="10.0"/>
      </rPr>
      <t>∆</t>
    </r>
    <r>
      <rPr>
        <rFont val="Arial"/>
        <b/>
        <color rgb="FFFFFFFF"/>
        <sz val="11.0"/>
      </rPr>
      <t>Yi</t>
    </r>
    <r>
      <rPr>
        <rFont val="Arial"/>
        <b/>
        <color rgb="FFFFFFFF"/>
        <sz val="10.0"/>
      </rPr>
      <t>²</t>
    </r>
  </si>
  <si>
    <t>Constante elastica(N/m)</t>
  </si>
  <si>
    <t>x media(m)</t>
  </si>
  <si>
    <t>massa (kg)</t>
  </si>
  <si>
    <t>D1(m)</t>
  </si>
  <si>
    <t>D2(m)</t>
  </si>
  <si>
    <t>D3(m)</t>
  </si>
  <si>
    <t>D méd</t>
  </si>
  <si>
    <t xml:space="preserve">1ª) linearizar mg=kx </t>
  </si>
  <si>
    <t>hooke F=kx</t>
  </si>
  <si>
    <t>forma de reta</t>
  </si>
  <si>
    <t>mg=kx</t>
  </si>
  <si>
    <t>y=Bx+A</t>
  </si>
  <si>
    <t>K</t>
  </si>
  <si>
    <t>y=x</t>
  </si>
  <si>
    <t>dependente</t>
  </si>
  <si>
    <t>Yi​</t>
  </si>
  <si>
    <t>alongamento x</t>
  </si>
  <si>
    <t>x=m</t>
  </si>
  <si>
    <t>independente</t>
  </si>
  <si>
    <t>Xi​</t>
  </si>
  <si>
    <t>massa m</t>
  </si>
  <si>
    <t>B=g/k</t>
  </si>
  <si>
    <t>Coeficiente angular (B)</t>
  </si>
  <si>
    <t>g/k (coeficiente angular)</t>
  </si>
  <si>
    <t>Coeficiente linear (A)</t>
  </si>
  <si>
    <t>0 (coeficiente linear)</t>
  </si>
  <si>
    <t>x=(B*m)+A</t>
  </si>
  <si>
    <t>x=((g/k)*m)+0</t>
  </si>
  <si>
    <t>B*K</t>
  </si>
  <si>
    <r>
      <rPr>
        <rFont val="Calibri"/>
        <b/>
        <color rgb="FFFFFFFF"/>
        <sz val="10.0"/>
      </rPr>
      <t>∆</t>
    </r>
    <r>
      <rPr>
        <rFont val="Arial"/>
        <b/>
        <color rgb="FFFFFFFF"/>
        <sz val="11.0"/>
      </rPr>
      <t>Yi</t>
    </r>
    <r>
      <rPr>
        <rFont val="Arial"/>
        <b/>
        <color rgb="FFFFFFFF"/>
        <sz val="10.0"/>
      </rPr>
      <t>²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</si>
</sst>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0"/>
    <numFmt numFmtId="165" formatCode="0.000"/>
    <numFmt numFmtId="166" formatCode="0.00000"/>
    <numFmt numFmtId="167" formatCode="0.0"/>
    <numFmt numFmtId="168" formatCode="0.000000"/>
    <numFmt numFmtId="169" formatCode="0.0000000"/>
    <numFmt numFmtId="170" formatCode="0.00000000"/>
  </numFmts>
  <fonts count="16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0"/>
      <name val="Arial"/>
    </font>
    <font/>
    <font>
      <b/>
      <sz val="10.0"/>
      <color rgb="FFFFFFFF"/>
      <name val="Arial"/>
    </font>
    <font>
      <sz val="10.0"/>
      <color rgb="FFFFFFFF"/>
      <name val="Arial"/>
    </font>
    <font>
      <sz val="10.0"/>
      <color theme="0"/>
      <name val="Arial"/>
    </font>
    <font>
      <b/>
      <sz val="9.0"/>
      <color theme="0"/>
      <name val="Arial"/>
    </font>
    <font>
      <b/>
      <sz val="8.0"/>
      <color theme="0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sz val="9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b/>
      <sz val="8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953734"/>
        <bgColor rgb="FF953734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  <fill>
      <patternFill patternType="solid">
        <fgColor rgb="FF366092"/>
        <bgColor rgb="FF366092"/>
      </patternFill>
    </fill>
    <fill>
      <patternFill patternType="solid">
        <fgColor rgb="FF548DD4"/>
        <bgColor rgb="FF548DD4"/>
      </patternFill>
    </fill>
    <fill>
      <patternFill patternType="solid">
        <fgColor rgb="FF5F497A"/>
        <bgColor rgb="FF5F497A"/>
      </patternFill>
    </fill>
    <fill>
      <patternFill patternType="solid">
        <fgColor theme="8"/>
        <bgColor theme="8"/>
      </patternFill>
    </fill>
    <fill>
      <patternFill patternType="solid">
        <fgColor rgb="FFB6DDE8"/>
        <bgColor rgb="FFB6DDE8"/>
      </patternFill>
    </fill>
    <fill>
      <patternFill patternType="solid">
        <fgColor rgb="FFE36C09"/>
        <bgColor rgb="FFE36C09"/>
      </patternFill>
    </fill>
    <fill>
      <patternFill patternType="solid">
        <fgColor theme="7"/>
        <bgColor theme="7"/>
      </patternFill>
    </fill>
    <fill>
      <patternFill patternType="solid">
        <fgColor rgb="FFD6E3BC"/>
        <bgColor rgb="FFD6E3BC"/>
      </patternFill>
    </fill>
    <fill>
      <patternFill patternType="solid">
        <fgColor rgb="FF3F3F3F"/>
        <bgColor rgb="FF3F3F3F"/>
      </patternFill>
    </fill>
    <fill>
      <patternFill patternType="solid">
        <fgColor rgb="FF727272"/>
        <bgColor rgb="FF727272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5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BFBFBF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</border>
    <border>
      <left style="thin">
        <color rgb="FFBFBFBF"/>
      </left>
      <top style="thin">
        <color theme="0"/>
      </top>
      <bottom style="thin">
        <color rgb="FF000000"/>
      </bottom>
    </border>
    <border>
      <top style="thin">
        <color theme="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/>
      <top style="thin">
        <color theme="0"/>
      </top>
    </border>
    <border>
      <left style="thin">
        <color theme="0"/>
      </left>
      <right style="thin">
        <color theme="0"/>
      </right>
      <bottom style="thin">
        <color theme="0"/>
      </bottom>
    </border>
    <border>
      <left/>
      <right/>
      <top/>
      <bottom/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BFBFBF"/>
      </left>
      <right/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readingOrder="0" vertical="center"/>
    </xf>
    <xf borderId="1" fillId="3" fontId="5" numFmtId="164" xfId="0" applyAlignment="1" applyBorder="1" applyFill="1" applyFont="1" applyNumberFormat="1">
      <alignment horizontal="center" readingOrder="0" vertical="center"/>
    </xf>
    <xf borderId="1" fillId="3" fontId="6" numFmtId="164" xfId="0" applyAlignment="1" applyBorder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1" fillId="5" fontId="5" numFmtId="165" xfId="0" applyAlignment="1" applyBorder="1" applyFill="1" applyFont="1" applyNumberFormat="1">
      <alignment horizontal="center" readingOrder="0" vertical="center"/>
    </xf>
    <xf borderId="1" fillId="5" fontId="6" numFmtId="164" xfId="0" applyAlignment="1" applyBorder="1" applyFont="1" applyNumberFormat="1">
      <alignment horizontal="center" vertical="center"/>
    </xf>
    <xf borderId="6" fillId="3" fontId="5" numFmtId="165" xfId="0" applyAlignment="1" applyBorder="1" applyFont="1" applyNumberFormat="1">
      <alignment horizontal="center" readingOrder="0" vertical="center"/>
    </xf>
    <xf borderId="1" fillId="5" fontId="6" numFmtId="165" xfId="0" applyAlignment="1" applyBorder="1" applyFont="1" applyNumberFormat="1">
      <alignment horizontal="center" vertical="center"/>
    </xf>
    <xf borderId="6" fillId="5" fontId="5" numFmtId="165" xfId="0" applyAlignment="1" applyBorder="1" applyFont="1" applyNumberFormat="1">
      <alignment horizontal="center" readingOrder="0" vertical="center"/>
    </xf>
    <xf borderId="1" fillId="3" fontId="6" numFmtId="1" xfId="0" applyAlignment="1" applyBorder="1" applyFont="1" applyNumberFormat="1">
      <alignment horizontal="center" vertical="center"/>
    </xf>
    <xf borderId="1" fillId="5" fontId="6" numFmtId="1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readingOrder="0" vertical="center"/>
    </xf>
    <xf borderId="9" fillId="4" fontId="2" numFmtId="0" xfId="0" applyAlignment="1" applyBorder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11" fillId="0" fontId="3" numFmtId="0" xfId="0" applyBorder="1" applyFont="1"/>
    <xf borderId="6" fillId="3" fontId="6" numFmtId="165" xfId="0" applyAlignment="1" applyBorder="1" applyFont="1" applyNumberFormat="1">
      <alignment horizontal="center" vertical="center"/>
    </xf>
    <xf borderId="6" fillId="3" fontId="6" numFmtId="164" xfId="0" applyAlignment="1" applyBorder="1" applyFont="1" applyNumberFormat="1">
      <alignment horizontal="center" vertical="center"/>
    </xf>
    <xf borderId="6" fillId="3" fontId="6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12" fillId="4" fontId="2" numFmtId="0" xfId="0" applyAlignment="1" applyBorder="1" applyFont="1">
      <alignment horizontal="center" vertical="center"/>
    </xf>
    <xf borderId="13" fillId="0" fontId="3" numFmtId="0" xfId="0" applyBorder="1" applyFont="1"/>
    <xf borderId="6" fillId="3" fontId="6" numFmtId="2" xfId="0" applyAlignment="1" applyBorder="1" applyFont="1" applyNumberFormat="1">
      <alignment horizontal="center" vertical="center"/>
    </xf>
    <xf borderId="14" fillId="3" fontId="6" numFmtId="164" xfId="0" applyAlignment="1" applyBorder="1" applyFont="1" applyNumberForma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8" fillId="4" fontId="8" numFmtId="0" xfId="0" applyAlignment="1" applyBorder="1" applyFont="1">
      <alignment horizontal="center" shrinkToFit="0" vertical="center" wrapText="1"/>
    </xf>
    <xf borderId="17" fillId="4" fontId="2" numFmtId="0" xfId="0" applyAlignment="1" applyBorder="1" applyFont="1">
      <alignment horizontal="center" vertical="center"/>
    </xf>
    <xf borderId="18" fillId="4" fontId="2" numFmtId="0" xfId="0" applyAlignment="1" applyBorder="1" applyFont="1">
      <alignment horizontal="center" vertical="center"/>
    </xf>
    <xf borderId="19" fillId="0" fontId="3" numFmtId="0" xfId="0" applyBorder="1" applyFont="1"/>
    <xf borderId="20" fillId="4" fontId="2" numFmtId="0" xfId="0" applyAlignment="1" applyBorder="1" applyFont="1">
      <alignment horizontal="center" vertical="center"/>
    </xf>
    <xf borderId="21" fillId="0" fontId="3" numFmtId="0" xfId="0" applyBorder="1" applyFont="1"/>
    <xf borderId="6" fillId="6" fontId="6" numFmtId="165" xfId="0" applyAlignment="1" applyBorder="1" applyFill="1" applyFont="1" applyNumberFormat="1">
      <alignment horizontal="center" vertical="center"/>
    </xf>
    <xf borderId="22" fillId="6" fontId="6" numFmtId="2" xfId="0" applyAlignment="1" applyBorder="1" applyFont="1" applyNumberFormat="1">
      <alignment horizontal="center" vertical="center"/>
    </xf>
    <xf borderId="6" fillId="6" fontId="6" numFmtId="164" xfId="0" applyAlignment="1" applyBorder="1" applyFont="1" applyNumberFormat="1">
      <alignment horizontal="center" vertical="center"/>
    </xf>
    <xf borderId="6" fillId="6" fontId="6" numFmtId="2" xfId="0" applyAlignment="1" applyBorder="1" applyFont="1" applyNumberFormat="1">
      <alignment horizontal="center" vertical="center"/>
    </xf>
    <xf borderId="6" fillId="0" fontId="1" numFmtId="0" xfId="0" applyBorder="1" applyFont="1"/>
    <xf borderId="6" fillId="0" fontId="1" numFmtId="167" xfId="0" applyBorder="1" applyFont="1" applyNumberFormat="1"/>
    <xf borderId="17" fillId="2" fontId="2" numFmtId="165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1" fillId="7" fontId="2" numFmtId="2" xfId="0" applyAlignment="1" applyBorder="1" applyFill="1" applyFont="1" applyNumberFormat="1">
      <alignment horizontal="center" vertical="center"/>
    </xf>
    <xf borderId="17" fillId="2" fontId="2" numFmtId="164" xfId="0" applyAlignment="1" applyBorder="1" applyFont="1" applyNumberFormat="1">
      <alignment horizontal="center" vertical="center"/>
    </xf>
    <xf borderId="1" fillId="2" fontId="2" numFmtId="165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23" fillId="2" fontId="2" numFmtId="2" xfId="0" applyAlignment="1" applyBorder="1" applyFont="1" applyNumberFormat="1">
      <alignment horizontal="center" vertical="center"/>
    </xf>
    <xf borderId="24" fillId="6" fontId="6" numFmtId="168" xfId="0" applyAlignment="1" applyBorder="1" applyFont="1" applyNumberFormat="1">
      <alignment horizontal="center" vertical="center"/>
    </xf>
    <xf borderId="24" fillId="6" fontId="6" numFmtId="164" xfId="0" applyAlignment="1" applyBorder="1" applyFont="1" applyNumberFormat="1">
      <alignment horizontal="center" vertical="center"/>
    </xf>
    <xf borderId="0" fillId="0" fontId="1" numFmtId="167" xfId="0" applyFont="1" applyNumberFormat="1"/>
    <xf borderId="25" fillId="0" fontId="3" numFmtId="0" xfId="0" applyBorder="1" applyFont="1"/>
    <xf borderId="5" fillId="4" fontId="2" numFmtId="2" xfId="0" applyAlignment="1" applyBorder="1" applyFont="1" applyNumberFormat="1">
      <alignment horizontal="center" vertical="center"/>
    </xf>
    <xf borderId="26" fillId="4" fontId="2" numFmtId="0" xfId="0" applyAlignment="1" applyBorder="1" applyFont="1">
      <alignment horizontal="center" vertical="center"/>
    </xf>
    <xf borderId="27" fillId="4" fontId="2" numFmtId="0" xfId="0" applyAlignment="1" applyBorder="1" applyFont="1">
      <alignment horizontal="center" vertical="center"/>
    </xf>
    <xf borderId="6" fillId="3" fontId="6" numFmtId="168" xfId="0" applyAlignment="1" applyBorder="1" applyFont="1" applyNumberFormat="1">
      <alignment horizontal="center" vertical="center"/>
    </xf>
    <xf borderId="6" fillId="8" fontId="6" numFmtId="169" xfId="0" applyAlignment="1" applyBorder="1" applyFill="1" applyFont="1" applyNumberFormat="1">
      <alignment horizontal="center" vertical="center"/>
    </xf>
    <xf borderId="6" fillId="8" fontId="6" numFmtId="2" xfId="0" applyAlignment="1" applyBorder="1" applyFont="1" applyNumberFormat="1">
      <alignment horizontal="center" vertical="center"/>
    </xf>
    <xf borderId="6" fillId="9" fontId="1" numFmtId="169" xfId="0" applyAlignment="1" applyBorder="1" applyFill="1" applyFont="1" applyNumberFormat="1">
      <alignment horizontal="center" vertical="center"/>
    </xf>
    <xf borderId="6" fillId="9" fontId="1" numFmtId="167" xfId="0" applyAlignment="1" applyBorder="1" applyFont="1" applyNumberFormat="1">
      <alignment horizontal="center" vertical="center"/>
    </xf>
    <xf borderId="6" fillId="9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8" fillId="4" fontId="2" numFmtId="0" xfId="0" applyAlignment="1" applyBorder="1" applyFont="1">
      <alignment horizontal="center" vertical="center"/>
    </xf>
    <xf borderId="29" fillId="4" fontId="2" numFmtId="0" xfId="0" applyAlignment="1" applyBorder="1" applyFont="1">
      <alignment horizontal="center" vertical="center"/>
    </xf>
    <xf borderId="30" fillId="4" fontId="2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6" fillId="10" fontId="6" numFmtId="0" xfId="0" applyAlignment="1" applyBorder="1" applyFill="1" applyFont="1">
      <alignment horizontal="center" vertical="center"/>
    </xf>
    <xf borderId="6" fillId="5" fontId="6" numFmtId="0" xfId="0" applyAlignment="1" applyBorder="1" applyFont="1">
      <alignment horizontal="center" vertical="center"/>
    </xf>
    <xf borderId="6" fillId="5" fontId="6" numFmtId="165" xfId="0" applyAlignment="1" applyBorder="1" applyFont="1" applyNumberFormat="1">
      <alignment horizontal="center" vertical="center"/>
    </xf>
    <xf borderId="31" fillId="11" fontId="2" numFmtId="0" xfId="0" applyAlignment="1" applyBorder="1" applyFill="1" applyFont="1">
      <alignment horizontal="center" vertical="center"/>
    </xf>
    <xf borderId="30" fillId="11" fontId="2" numFmtId="0" xfId="0" applyAlignment="1" applyBorder="1" applyFont="1">
      <alignment horizontal="center" vertical="center"/>
    </xf>
    <xf borderId="32" fillId="4" fontId="2" numFmtId="0" xfId="0" applyAlignment="1" applyBorder="1" applyFont="1">
      <alignment horizontal="center" vertical="center"/>
    </xf>
    <xf borderId="33" fillId="12" fontId="1" numFmtId="169" xfId="0" applyAlignment="1" applyBorder="1" applyFill="1" applyFont="1" applyNumberFormat="1">
      <alignment horizontal="center" vertical="center"/>
    </xf>
    <xf borderId="6" fillId="12" fontId="1" numFmtId="169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33" fillId="13" fontId="6" numFmtId="169" xfId="0" applyAlignment="1" applyBorder="1" applyFill="1" applyFont="1" applyNumberFormat="1">
      <alignment horizontal="center" vertical="center"/>
    </xf>
    <xf borderId="6" fillId="13" fontId="6" numFmtId="169" xfId="0" applyAlignment="1" applyBorder="1" applyFont="1" applyNumberFormat="1">
      <alignment horizontal="center" vertical="center"/>
    </xf>
    <xf borderId="6" fillId="14" fontId="6" numFmtId="169" xfId="0" applyAlignment="1" applyBorder="1" applyFill="1" applyFont="1" applyNumberFormat="1">
      <alignment horizontal="center" vertical="center"/>
    </xf>
    <xf borderId="6" fillId="14" fontId="5" numFmtId="169" xfId="0" applyAlignment="1" applyBorder="1" applyFont="1" applyNumberFormat="1">
      <alignment horizontal="center" readingOrder="0" vertical="center"/>
    </xf>
    <xf borderId="6" fillId="15" fontId="1" numFmtId="169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34" fillId="0" fontId="3" numFmtId="0" xfId="0" applyBorder="1" applyFont="1"/>
    <xf borderId="6" fillId="16" fontId="6" numFmtId="165" xfId="0" applyAlignment="1" applyBorder="1" applyFill="1" applyFont="1" applyNumberFormat="1">
      <alignment horizontal="center" vertical="center"/>
    </xf>
    <xf borderId="6" fillId="17" fontId="6" numFmtId="165" xfId="0" applyAlignment="1" applyBorder="1" applyFill="1" applyFont="1" applyNumberFormat="1">
      <alignment horizontal="center" vertical="center"/>
    </xf>
    <xf borderId="30" fillId="16" fontId="6" numFmtId="165" xfId="0" applyAlignment="1" applyBorder="1" applyFont="1" applyNumberFormat="1">
      <alignment horizontal="center" vertical="center"/>
    </xf>
    <xf borderId="20" fillId="7" fontId="6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0" fillId="0" fontId="10" numFmtId="0" xfId="0" applyFont="1"/>
    <xf borderId="0" fillId="0" fontId="10" numFmtId="164" xfId="0" applyFont="1" applyNumberFormat="1"/>
    <xf borderId="6" fillId="3" fontId="5" numFmtId="1" xfId="0" applyAlignment="1" applyBorder="1" applyFont="1" applyNumberFormat="1">
      <alignment horizontal="center" readingOrder="0" vertical="center"/>
    </xf>
    <xf borderId="6" fillId="5" fontId="5" numFmtId="1" xfId="0" applyAlignment="1" applyBorder="1" applyFont="1" applyNumberFormat="1">
      <alignment horizontal="center" readingOrder="0" vertical="center"/>
    </xf>
    <xf borderId="1" fillId="5" fontId="5" numFmtId="1" xfId="0" applyAlignment="1" applyBorder="1" applyFont="1" applyNumberFormat="1">
      <alignment horizontal="center" readingOrder="0" vertical="center"/>
    </xf>
    <xf borderId="0" fillId="18" fontId="2" numFmtId="0" xfId="0" applyAlignment="1" applyFill="1" applyFont="1">
      <alignment horizontal="center" vertical="center"/>
    </xf>
    <xf borderId="0" fillId="18" fontId="7" numFmtId="0" xfId="0" applyAlignment="1" applyFont="1">
      <alignment horizontal="center" shrinkToFit="0" vertical="center" wrapText="1"/>
    </xf>
    <xf borderId="2" fillId="4" fontId="4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8" fillId="4" fontId="11" numFmtId="0" xfId="0" applyAlignment="1" applyBorder="1" applyFont="1">
      <alignment horizontal="center" readingOrder="0" shrinkToFit="0" vertical="center" wrapText="1"/>
    </xf>
    <xf borderId="0" fillId="19" fontId="4" numFmtId="0" xfId="0" applyAlignment="1" applyFill="1" applyFont="1">
      <alignment horizontal="center" readingOrder="0"/>
    </xf>
    <xf borderId="0" fillId="0" fontId="10" numFmtId="0" xfId="0" applyFont="1"/>
    <xf borderId="9" fillId="4" fontId="4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readingOrder="0"/>
    </xf>
    <xf borderId="6" fillId="3" fontId="5" numFmtId="164" xfId="0" applyBorder="1" applyFont="1" applyNumberFormat="1"/>
    <xf borderId="0" fillId="0" fontId="10" numFmtId="166" xfId="0" applyFont="1" applyNumberFormat="1"/>
    <xf borderId="0" fillId="0" fontId="10" numFmtId="168" xfId="0" applyFont="1" applyNumberFormat="1"/>
    <xf borderId="6" fillId="3" fontId="6" numFmtId="170" xfId="0" applyAlignment="1" applyBorder="1" applyFont="1" applyNumberFormat="1">
      <alignment horizontal="center" vertical="center"/>
    </xf>
    <xf borderId="0" fillId="0" fontId="12" numFmtId="0" xfId="0" applyAlignment="1" applyFont="1">
      <alignment vertical="bottom"/>
    </xf>
    <xf borderId="6" fillId="0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6" fillId="0" fontId="13" numFmtId="0" xfId="0" applyAlignment="1" applyBorder="1" applyFont="1">
      <alignment vertical="bottom"/>
    </xf>
    <xf borderId="12" fillId="4" fontId="4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 vertical="bottom"/>
    </xf>
    <xf borderId="25" fillId="19" fontId="4" numFmtId="0" xfId="0" applyAlignment="1" applyBorder="1" applyFont="1">
      <alignment readingOrder="0"/>
    </xf>
    <xf borderId="4" fillId="3" fontId="5" numFmtId="164" xfId="0" applyAlignment="1" applyBorder="1" applyFont="1" applyNumberFormat="1">
      <alignment horizontal="center" readingOrder="0" vertical="center"/>
    </xf>
    <xf borderId="4" fillId="3" fontId="6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readingOrder="0"/>
    </xf>
    <xf borderId="8" fillId="4" fontId="15" numFmtId="0" xfId="0" applyAlignment="1" applyBorder="1" applyFont="1">
      <alignment horizontal="center" readingOrder="0" shrinkToFit="0" vertical="center" wrapText="1"/>
    </xf>
    <xf borderId="18" fillId="4" fontId="4" numFmtId="0" xfId="0" applyAlignment="1" applyBorder="1" applyFont="1">
      <alignment horizontal="center" readingOrder="0" vertical="center"/>
    </xf>
    <xf borderId="22" fillId="6" fontId="6" numFmtId="164" xfId="0" applyAlignment="1" applyBorder="1" applyFont="1" applyNumberFormat="1">
      <alignment horizontal="center" vertical="center"/>
    </xf>
    <xf borderId="6" fillId="6" fontId="6" numFmtId="170" xfId="0" applyAlignment="1" applyBorder="1" applyFont="1" applyNumberFormat="1">
      <alignment horizontal="center" vertical="center"/>
    </xf>
    <xf borderId="0" fillId="0" fontId="10" numFmtId="167" xfId="0" applyFont="1" applyNumberFormat="1"/>
    <xf borderId="1" fillId="2" fontId="2" numFmtId="170" xfId="0" applyAlignment="1" applyBorder="1" applyFont="1" applyNumberFormat="1">
      <alignment horizontal="center" vertical="center"/>
    </xf>
    <xf borderId="6" fillId="19" fontId="5" numFmtId="0" xfId="0" applyAlignment="1" applyBorder="1" applyFont="1">
      <alignment horizontal="right"/>
    </xf>
    <xf borderId="6" fillId="19" fontId="5" numFmtId="0" xfId="0" applyAlignment="1" applyBorder="1" applyFont="1">
      <alignment horizontal="right" readingOrder="0"/>
    </xf>
    <xf borderId="6" fillId="18" fontId="1" numFmtId="0" xfId="0" applyBorder="1" applyFont="1"/>
    <xf borderId="0" fillId="0" fontId="1" numFmtId="2" xfId="0" applyFont="1" applyNumberFormat="1"/>
    <xf borderId="6" fillId="8" fontId="6" numFmtId="166" xfId="0" applyAlignment="1" applyBorder="1" applyFont="1" applyNumberFormat="1">
      <alignment horizontal="center" vertical="center"/>
    </xf>
    <xf borderId="6" fillId="9" fontId="1" numFmtId="166" xfId="0" applyAlignment="1" applyBorder="1" applyFont="1" applyNumberFormat="1">
      <alignment horizontal="center" vertical="center"/>
    </xf>
    <xf borderId="6" fillId="3" fontId="6" numFmtId="169" xfId="0" applyAlignment="1" applyBorder="1" applyFont="1" applyNumberFormat="1">
      <alignment horizontal="center" vertical="center"/>
    </xf>
    <xf borderId="6" fillId="5" fontId="6" numFmtId="166" xfId="0" applyAlignment="1" applyBorder="1" applyFont="1" applyNumberFormat="1">
      <alignment horizontal="center" vertical="center"/>
    </xf>
    <xf borderId="6" fillId="5" fontId="6" numFmtId="169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Y ajus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(Y ajus)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'pêndulo '!$C$67:$C$71</c:f>
            </c:numRef>
          </c:xVal>
          <c:yVal>
            <c:numRef>
              <c:f>'pêndulo '!$D$67:$D$71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137449"/>
        <c:axId val="634960676"/>
      </c:scatterChart>
      <c:valAx>
        <c:axId val="20991374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4960676"/>
      </c:valAx>
      <c:valAx>
        <c:axId val="634960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913744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Y ajus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(Y ajus)</c:name>
            <c:spPr>
              <a:ln w="19050">
                <a:solidFill>
                  <a:srgbClr val="CC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'hooke mola 1'!$C$71:$C$75</c:f>
            </c:numRef>
          </c:xVal>
          <c:yVal>
            <c:numRef>
              <c:f>'hooke mola 1'!$D$71:$D$75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052535"/>
        <c:axId val="1462413668"/>
      </c:scatterChart>
      <c:valAx>
        <c:axId val="2900525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2413668"/>
      </c:valAx>
      <c:valAx>
        <c:axId val="1462413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9005253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Y ajus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(Y ajus)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'hooke mola 2'!$C$71:$C$75</c:f>
            </c:numRef>
          </c:xVal>
          <c:yVal>
            <c:numRef>
              <c:f>'hooke mola 2'!$D$71:$D$75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96902"/>
        <c:axId val="1172613456"/>
      </c:scatterChart>
      <c:valAx>
        <c:axId val="5164969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72613456"/>
      </c:valAx>
      <c:valAx>
        <c:axId val="1172613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649690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63</xdr:row>
      <xdr:rowOff>19050</xdr:rowOff>
    </xdr:from>
    <xdr:ext cx="8629650" cy="38290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67</xdr:row>
      <xdr:rowOff>19050</xdr:rowOff>
    </xdr:from>
    <xdr:ext cx="8629650" cy="3829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31</xdr:row>
      <xdr:rowOff>0</xdr:rowOff>
    </xdr:from>
    <xdr:ext cx="2600325" cy="10763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67</xdr:row>
      <xdr:rowOff>19050</xdr:rowOff>
    </xdr:from>
    <xdr:ext cx="8629650" cy="38290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31</xdr:row>
      <xdr:rowOff>0</xdr:rowOff>
    </xdr:from>
    <xdr:ext cx="2600325" cy="10763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3" width="12.0"/>
    <col customWidth="1" min="4" max="4" width="10.29"/>
    <col customWidth="1" min="5" max="5" width="11.0"/>
    <col customWidth="1" min="6" max="6" width="11.71"/>
    <col customWidth="1" min="7" max="7" width="11.43"/>
    <col customWidth="1" min="8" max="8" width="12.0"/>
    <col customWidth="1" min="9" max="9" width="10.0"/>
    <col customWidth="1" min="10" max="11" width="12.71"/>
    <col customWidth="1" min="12" max="12" width="8.29"/>
    <col customWidth="1" min="13" max="13" width="13.71"/>
    <col customWidth="1" min="14" max="15" width="12.71"/>
    <col customWidth="1" min="16" max="16" width="12.0"/>
    <col customWidth="1" min="17" max="26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2" t="s">
        <v>0</v>
      </c>
      <c r="C2" s="3" t="s">
        <v>1</v>
      </c>
      <c r="D2" s="4"/>
      <c r="E2" s="5"/>
      <c r="F2" s="1"/>
      <c r="G2" s="6" t="s">
        <v>2</v>
      </c>
      <c r="H2" s="5"/>
      <c r="I2" s="7">
        <v>5.0E-4</v>
      </c>
      <c r="J2" s="3" t="s">
        <v>3</v>
      </c>
      <c r="K2" s="5"/>
      <c r="L2" s="8">
        <f>1.68/9.81</f>
        <v>0.1712538226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9" t="s">
        <v>4</v>
      </c>
      <c r="C3" s="9" t="s">
        <v>5</v>
      </c>
      <c r="D3" s="9" t="s">
        <v>6</v>
      </c>
      <c r="E3" s="9" t="s">
        <v>7</v>
      </c>
      <c r="F3" s="1"/>
      <c r="G3" s="3" t="s">
        <v>8</v>
      </c>
      <c r="H3" s="5"/>
      <c r="I3" s="10">
        <v>0.001</v>
      </c>
      <c r="J3" s="3" t="s">
        <v>9</v>
      </c>
      <c r="K3" s="5"/>
      <c r="L3" s="11">
        <f>42.95/100</f>
        <v>0.4295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>
        <v>25.0</v>
      </c>
      <c r="C4" s="12">
        <v>0.957</v>
      </c>
      <c r="D4" s="12">
        <v>0.971</v>
      </c>
      <c r="E4" s="12">
        <v>0.956</v>
      </c>
      <c r="F4" s="1"/>
      <c r="G4" s="3" t="s">
        <v>10</v>
      </c>
      <c r="H4" s="5"/>
      <c r="I4" s="13">
        <v>0.01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4">
        <v>30.0</v>
      </c>
      <c r="C5" s="14">
        <v>1.087</v>
      </c>
      <c r="D5" s="14">
        <v>1.092</v>
      </c>
      <c r="E5" s="14">
        <v>1.093</v>
      </c>
      <c r="F5" s="1"/>
      <c r="G5" s="3" t="s">
        <v>11</v>
      </c>
      <c r="H5" s="5"/>
      <c r="I5" s="15">
        <v>3.0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2">
        <v>35.0</v>
      </c>
      <c r="C6" s="12">
        <v>1.206</v>
      </c>
      <c r="D6" s="12">
        <v>1.219</v>
      </c>
      <c r="E6" s="12">
        <v>1.21</v>
      </c>
      <c r="F6" s="1"/>
      <c r="G6" s="3" t="s">
        <v>12</v>
      </c>
      <c r="H6" s="5"/>
      <c r="I6" s="16">
        <v>4.0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4">
        <v>40.0</v>
      </c>
      <c r="C7" s="14">
        <v>1.233</v>
      </c>
      <c r="D7" s="14">
        <v>1.258</v>
      </c>
      <c r="E7" s="14">
        <v>1.243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7" t="str">
        <f>B2</f>
        <v>Régua</v>
      </c>
      <c r="B9" s="18" t="s">
        <v>13</v>
      </c>
      <c r="C9" s="4"/>
      <c r="D9" s="4"/>
      <c r="E9" s="19" t="s">
        <v>14</v>
      </c>
      <c r="F9" s="18" t="s">
        <v>15</v>
      </c>
      <c r="G9" s="4"/>
      <c r="H9" s="5"/>
      <c r="I9" s="20" t="s">
        <v>16</v>
      </c>
      <c r="J9" s="21" t="s">
        <v>17</v>
      </c>
      <c r="K9" s="21" t="s">
        <v>18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2" t="s">
        <v>19</v>
      </c>
      <c r="B10" s="9" t="str">
        <f t="shared" ref="B10:D10" si="1">C3</f>
        <v>t1</v>
      </c>
      <c r="C10" s="9" t="str">
        <f t="shared" si="1"/>
        <v>t2</v>
      </c>
      <c r="D10" s="9" t="str">
        <f t="shared" si="1"/>
        <v>t3</v>
      </c>
      <c r="E10" s="23" t="s">
        <v>20</v>
      </c>
      <c r="F10" s="24" t="str">
        <f t="shared" ref="F10:H10" si="2">B10</f>
        <v>t1</v>
      </c>
      <c r="G10" s="24" t="str">
        <f t="shared" si="2"/>
        <v>t2</v>
      </c>
      <c r="H10" s="24" t="str">
        <f t="shared" si="2"/>
        <v>t3</v>
      </c>
      <c r="I10" s="25"/>
      <c r="J10" s="25"/>
      <c r="K10" s="2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>
        <f t="shared" ref="A11:A14" si="4">B4/100</f>
        <v>0.25</v>
      </c>
      <c r="B11" s="27">
        <f t="shared" ref="B11:D11" si="3">C4</f>
        <v>0.957</v>
      </c>
      <c r="C11" s="27">
        <f t="shared" si="3"/>
        <v>0.971</v>
      </c>
      <c r="D11" s="27">
        <f t="shared" si="3"/>
        <v>0.956</v>
      </c>
      <c r="E11" s="27">
        <f t="shared" ref="E11:E14" si="6">AVERAGE(B11:D11)</f>
        <v>0.9613333333</v>
      </c>
      <c r="F11" s="28">
        <f t="shared" ref="F11:F14" si="7">(B11-E11)^2</f>
        <v>0.00001877777778</v>
      </c>
      <c r="G11" s="28">
        <f t="shared" ref="G11:G14" si="8">(C11-E11)^2</f>
        <v>0.00009344444444</v>
      </c>
      <c r="H11" s="28">
        <f t="shared" ref="H11:H14" si="9">(D11-E11)^2</f>
        <v>0.00002844444444</v>
      </c>
      <c r="I11" s="28">
        <f>SQRT((F11+G11+H11)/($I$5-1))</f>
        <v>0.008386497084</v>
      </c>
      <c r="J11" s="28">
        <f t="shared" ref="J11:J14" si="10">I11/(SQRT($I$5))</f>
        <v>0.004841946349</v>
      </c>
      <c r="K11" s="28">
        <f t="shared" ref="K11:K14" si="11">ROUND(J11,3)</f>
        <v>0.005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6">
        <f t="shared" si="4"/>
        <v>0.3</v>
      </c>
      <c r="B12" s="27">
        <f t="shared" ref="B12:D12" si="5">C5</f>
        <v>1.087</v>
      </c>
      <c r="C12" s="27">
        <f t="shared" si="5"/>
        <v>1.092</v>
      </c>
      <c r="D12" s="27">
        <f t="shared" si="5"/>
        <v>1.093</v>
      </c>
      <c r="E12" s="27">
        <f t="shared" si="6"/>
        <v>1.090666667</v>
      </c>
      <c r="F12" s="28">
        <f t="shared" si="7"/>
        <v>0.00001344444444</v>
      </c>
      <c r="G12" s="28">
        <f t="shared" si="8"/>
        <v>0.000001777777778</v>
      </c>
      <c r="H12" s="28">
        <f t="shared" si="9"/>
        <v>0.000005444444444</v>
      </c>
      <c r="I12" s="28">
        <f t="shared" ref="I12:I14" si="13">SQRT((F12+G12+H12)/($I$5-1))</f>
        <v>0.003214550254</v>
      </c>
      <c r="J12" s="28">
        <f t="shared" si="10"/>
        <v>0.001855921454</v>
      </c>
      <c r="K12" s="28">
        <f t="shared" si="11"/>
        <v>0.002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6">
        <f t="shared" si="4"/>
        <v>0.35</v>
      </c>
      <c r="B13" s="27">
        <f t="shared" ref="B13:D13" si="12">C6</f>
        <v>1.206</v>
      </c>
      <c r="C13" s="27">
        <f t="shared" si="12"/>
        <v>1.219</v>
      </c>
      <c r="D13" s="27">
        <f t="shared" si="12"/>
        <v>1.21</v>
      </c>
      <c r="E13" s="27">
        <f t="shared" si="6"/>
        <v>1.211666667</v>
      </c>
      <c r="F13" s="28">
        <f t="shared" si="7"/>
        <v>0.00003211111111</v>
      </c>
      <c r="G13" s="28">
        <f t="shared" si="8"/>
        <v>0.00005377777778</v>
      </c>
      <c r="H13" s="28">
        <f t="shared" si="9"/>
        <v>0.000002777777778</v>
      </c>
      <c r="I13" s="28">
        <f t="shared" si="13"/>
        <v>0.006658328118</v>
      </c>
      <c r="J13" s="28">
        <f t="shared" si="10"/>
        <v>0.003844187532</v>
      </c>
      <c r="K13" s="28">
        <f t="shared" si="11"/>
        <v>0.004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6">
        <f t="shared" si="4"/>
        <v>0.4</v>
      </c>
      <c r="B14" s="27">
        <f t="shared" ref="B14:D14" si="14">C7</f>
        <v>1.233</v>
      </c>
      <c r="C14" s="27">
        <f t="shared" si="14"/>
        <v>1.258</v>
      </c>
      <c r="D14" s="27">
        <f t="shared" si="14"/>
        <v>1.243</v>
      </c>
      <c r="E14" s="27">
        <f t="shared" si="6"/>
        <v>1.244666667</v>
      </c>
      <c r="F14" s="28">
        <f t="shared" si="7"/>
        <v>0.0001361111111</v>
      </c>
      <c r="G14" s="28">
        <f t="shared" si="8"/>
        <v>0.0001777777778</v>
      </c>
      <c r="H14" s="28">
        <f t="shared" si="9"/>
        <v>0.000002777777778</v>
      </c>
      <c r="I14" s="28">
        <f t="shared" si="13"/>
        <v>0.01258305739</v>
      </c>
      <c r="J14" s="28">
        <f t="shared" si="10"/>
        <v>0.007264831573</v>
      </c>
      <c r="K14" s="28">
        <f t="shared" si="11"/>
        <v>0.007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29" t="s">
        <v>21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2" t="s">
        <v>0</v>
      </c>
      <c r="E16" s="3" t="s">
        <v>22</v>
      </c>
      <c r="F16" s="4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 t="s">
        <v>23</v>
      </c>
      <c r="D17" s="9" t="s">
        <v>19</v>
      </c>
      <c r="E17" s="30" t="s">
        <v>24</v>
      </c>
      <c r="F17" s="31"/>
      <c r="G17" s="31"/>
      <c r="H17" s="1" t="s">
        <v>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7">
        <v>5.0E-4</v>
      </c>
      <c r="D18" s="32">
        <f t="shared" ref="D18:D21" si="15">A11</f>
        <v>0.25</v>
      </c>
      <c r="E18" s="33">
        <f t="shared" ref="E18:E21" si="16">SQRT(D18)</f>
        <v>0.5</v>
      </c>
      <c r="F18" s="34"/>
      <c r="G18" s="35"/>
      <c r="H18" s="7">
        <v>0.006</v>
      </c>
      <c r="I18" s="1">
        <v>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8">
        <v>5.0E-4</v>
      </c>
      <c r="D19" s="32">
        <f t="shared" si="15"/>
        <v>0.3</v>
      </c>
      <c r="E19" s="33">
        <f t="shared" si="16"/>
        <v>0.5477225575</v>
      </c>
      <c r="F19" s="34"/>
      <c r="G19" s="35"/>
      <c r="H19" s="7">
        <v>0.001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8">
        <v>5.0E-4</v>
      </c>
      <c r="D20" s="32">
        <f t="shared" si="15"/>
        <v>0.35</v>
      </c>
      <c r="E20" s="33">
        <f t="shared" si="16"/>
        <v>0.5916079783</v>
      </c>
      <c r="F20" s="34"/>
      <c r="G20" s="35"/>
      <c r="H20" s="8">
        <v>0.001</v>
      </c>
      <c r="I20" s="1"/>
      <c r="J20" s="1"/>
      <c r="K20" s="1"/>
      <c r="L20" s="29" t="s">
        <v>25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8">
        <v>5.0E-4</v>
      </c>
      <c r="D21" s="32">
        <f t="shared" si="15"/>
        <v>0.4</v>
      </c>
      <c r="E21" s="33">
        <f t="shared" si="16"/>
        <v>0.632455532</v>
      </c>
      <c r="F21" s="34"/>
      <c r="G21" s="35"/>
      <c r="H21" s="8">
        <v>0.001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9" t="s">
        <v>24</v>
      </c>
      <c r="B23" s="17" t="s">
        <v>14</v>
      </c>
      <c r="C23" s="36" t="s">
        <v>26</v>
      </c>
      <c r="D23" s="37" t="s">
        <v>27</v>
      </c>
      <c r="E23" s="38" t="s">
        <v>28</v>
      </c>
      <c r="F23" s="1"/>
      <c r="G23" s="38" t="s">
        <v>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"/>
      <c r="B24" s="17" t="str">
        <f>E10</f>
        <v>T méd</v>
      </c>
      <c r="C24" s="39"/>
      <c r="D24" s="40" t="s">
        <v>30</v>
      </c>
      <c r="E24" s="41"/>
      <c r="F24" s="1"/>
      <c r="G24" s="4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42">
        <f t="shared" ref="A25:A28" si="17">E18</f>
        <v>0.5</v>
      </c>
      <c r="B25" s="43">
        <f t="shared" ref="B25:B28" si="18">ROUND(E11,2)</f>
        <v>0.96</v>
      </c>
      <c r="C25" s="43">
        <f t="shared" ref="C25:C28" si="19">ROUND((K11+$I$4),2)</f>
        <v>0.02</v>
      </c>
      <c r="D25" s="42">
        <f t="shared" ref="D25:D28" si="20">A25*B25</f>
        <v>0.48</v>
      </c>
      <c r="E25" s="42">
        <f t="shared" ref="E25:E28" si="21">A25^2</f>
        <v>0.25</v>
      </c>
      <c r="F25" s="1"/>
      <c r="G25" s="44">
        <f t="shared" ref="G25:G28" si="22">(B25-$D$36-$E$36*A25)^2</f>
        <v>0.0002617125706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6">
        <f t="shared" si="17"/>
        <v>0.5477225575</v>
      </c>
      <c r="B26" s="32">
        <f t="shared" si="18"/>
        <v>1.09</v>
      </c>
      <c r="C26" s="43">
        <f t="shared" si="19"/>
        <v>0.01</v>
      </c>
      <c r="D26" s="26">
        <f t="shared" si="20"/>
        <v>0.5970175877</v>
      </c>
      <c r="E26" s="26">
        <f t="shared" si="21"/>
        <v>0.3</v>
      </c>
      <c r="F26" s="1"/>
      <c r="G26" s="44">
        <f t="shared" si="22"/>
        <v>0.00008642125983</v>
      </c>
      <c r="H26" s="1"/>
      <c r="I26" s="1"/>
      <c r="J26" s="1"/>
      <c r="K26" s="20" t="s">
        <v>31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2">
        <f t="shared" si="17"/>
        <v>0.5916079783</v>
      </c>
      <c r="B27" s="45">
        <f t="shared" si="18"/>
        <v>1.21</v>
      </c>
      <c r="C27" s="43">
        <f t="shared" si="19"/>
        <v>0.01</v>
      </c>
      <c r="D27" s="42">
        <f t="shared" si="20"/>
        <v>0.7158456538</v>
      </c>
      <c r="E27" s="42">
        <f t="shared" si="21"/>
        <v>0.35</v>
      </c>
      <c r="F27" s="1"/>
      <c r="G27" s="44">
        <f t="shared" si="22"/>
        <v>0.001100552491</v>
      </c>
      <c r="H27" s="1"/>
      <c r="I27" s="1"/>
      <c r="J27" s="1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6">
        <f t="shared" si="17"/>
        <v>0.632455532</v>
      </c>
      <c r="B28" s="32">
        <f t="shared" si="18"/>
        <v>1.24</v>
      </c>
      <c r="C28" s="43">
        <f t="shared" si="19"/>
        <v>0.02</v>
      </c>
      <c r="D28" s="26">
        <f t="shared" si="20"/>
        <v>0.7842448597</v>
      </c>
      <c r="E28" s="26">
        <f t="shared" si="21"/>
        <v>0.4</v>
      </c>
      <c r="F28" s="1"/>
      <c r="G28" s="44">
        <f t="shared" si="22"/>
        <v>0.000691340077</v>
      </c>
      <c r="H28" s="1"/>
      <c r="I28" s="46" t="s">
        <v>32</v>
      </c>
      <c r="J28" s="46"/>
      <c r="K28" s="47">
        <f>((8*PI()^2)/(E36^3))*F41</f>
        <v>2.489685957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8">
        <f t="shared" ref="A29:B29" si="23">SUM(A25:A28)</f>
        <v>2.271786068</v>
      </c>
      <c r="B29" s="49">
        <f t="shared" si="23"/>
        <v>4.5</v>
      </c>
      <c r="C29" s="50"/>
      <c r="D29" s="51">
        <f t="shared" ref="D29:E29" si="24">SUM(D25:D28)</f>
        <v>2.577108101</v>
      </c>
      <c r="E29" s="52">
        <f t="shared" si="24"/>
        <v>1.3</v>
      </c>
      <c r="F29" s="1"/>
      <c r="G29" s="53">
        <f>SUM(G25:G28)</f>
        <v>0.002140026398</v>
      </c>
      <c r="H29" s="1"/>
      <c r="I29" s="46"/>
      <c r="J29" s="46"/>
      <c r="K29" s="4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54" t="s">
        <v>33</v>
      </c>
      <c r="B30" s="5"/>
      <c r="C30" s="1"/>
      <c r="D30" s="54" t="s">
        <v>33</v>
      </c>
      <c r="E30" s="5"/>
      <c r="F30" s="1"/>
      <c r="G30" s="53" t="s">
        <v>33</v>
      </c>
      <c r="H30" s="1"/>
      <c r="I30" s="46"/>
      <c r="J30" s="46"/>
      <c r="K30" s="4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9" t="s">
        <v>34</v>
      </c>
      <c r="E35" s="9" t="s">
        <v>35</v>
      </c>
      <c r="F35" s="1"/>
      <c r="G35" s="1" t="s">
        <v>36</v>
      </c>
      <c r="H35" s="1">
        <f>(2*L3*E36)/L2</f>
        <v>10.98636922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55">
        <f>((B29*E29)-(D29*A29))/((I6*E29)-(A29^2))</f>
        <v>-0.1189666611</v>
      </c>
      <c r="E36" s="56">
        <f>((I6*D29)-(A29*B29))/((I6*E29)-(A29^2))</f>
        <v>2.190288388</v>
      </c>
      <c r="F36" s="1"/>
      <c r="G36" s="1"/>
      <c r="H36" s="1">
        <f>((2*PI())/E36)^2</f>
        <v>8.229190865</v>
      </c>
      <c r="I36" s="57">
        <f>H36-K28</f>
        <v>5.739504907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58"/>
      <c r="E37" s="5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9">
        <v>0.0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59" t="s">
        <v>37</v>
      </c>
      <c r="D40" s="23" t="s">
        <v>38</v>
      </c>
      <c r="E40" s="60" t="s">
        <v>39</v>
      </c>
      <c r="F40" s="61" t="s">
        <v>40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62">
        <f>(G29/(I6-2))</f>
        <v>0.001070013199</v>
      </c>
      <c r="D41" s="27">
        <f>SQRT((G29/(I6-2)))</f>
        <v>0.03271105622</v>
      </c>
      <c r="E41" s="28">
        <f> SQRT((E29*D41^2)/((I6*E29)-(A29^2)))</f>
        <v>0.1888862828</v>
      </c>
      <c r="F41" s="28">
        <f> SQRT((I6*D41^2)/((I6*E29)-(A29^2)))</f>
        <v>0.3313284582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63" t="s">
        <v>41</v>
      </c>
      <c r="D44" s="64">
        <f>D36</f>
        <v>-0.1189666611</v>
      </c>
      <c r="E44" s="63" t="s">
        <v>42</v>
      </c>
      <c r="F44" s="64">
        <f>E41</f>
        <v>0.1888862828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65" t="s">
        <v>43</v>
      </c>
      <c r="D45" s="66">
        <f>E36</f>
        <v>2.190288388</v>
      </c>
      <c r="E45" s="65" t="s">
        <v>42</v>
      </c>
      <c r="F45" s="67">
        <f>F41</f>
        <v>0.3313284582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69"/>
      <c r="B49" s="69" t="s">
        <v>44</v>
      </c>
      <c r="C49" s="69" t="s">
        <v>45</v>
      </c>
      <c r="D49" s="69" t="s">
        <v>46</v>
      </c>
      <c r="E49" s="69" t="s">
        <v>47</v>
      </c>
      <c r="F49" s="69" t="s">
        <v>48</v>
      </c>
      <c r="G49" s="69" t="s">
        <v>49</v>
      </c>
      <c r="H49" s="70" t="s">
        <v>50</v>
      </c>
      <c r="I49" s="68"/>
      <c r="J49" s="71" t="s">
        <v>51</v>
      </c>
      <c r="K49" s="68"/>
      <c r="L49" s="68"/>
      <c r="M49" s="68"/>
      <c r="N49" s="68"/>
      <c r="O49" s="68"/>
      <c r="P49" s="6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72">
        <v>1.0</v>
      </c>
      <c r="B50" s="26">
        <f t="shared" ref="B50:C50" si="25">A25</f>
        <v>0.5</v>
      </c>
      <c r="C50" s="26">
        <f t="shared" si="25"/>
        <v>0.96</v>
      </c>
      <c r="D50" s="26">
        <f t="shared" ref="D50:D60" si="27">B50*C50</f>
        <v>0.48</v>
      </c>
      <c r="E50" s="26">
        <f t="shared" ref="E50:E60" si="28">B50*B50</f>
        <v>0.25</v>
      </c>
      <c r="F50" s="26">
        <f t="shared" ref="F50:F60" si="29">IF(C50=0,0,$J$54+$K$54*B50)</f>
        <v>0.9761775329</v>
      </c>
      <c r="G50" s="26">
        <f t="shared" ref="G50:G60" si="30">IF(C50=0,0,(C50-F50)*(C50-F50))</f>
        <v>0.0002617125706</v>
      </c>
      <c r="H50" s="26">
        <f t="shared" ref="H50:H60" si="31">C50-F50</f>
        <v>-0.0161775329</v>
      </c>
      <c r="I50" s="68"/>
      <c r="J50" s="73">
        <f>COUNTA(B50:B60)</f>
        <v>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74">
        <v>2.0</v>
      </c>
      <c r="B51" s="75">
        <f t="shared" ref="B51:C51" si="26">A26</f>
        <v>0.5477225575</v>
      </c>
      <c r="C51" s="75">
        <f t="shared" si="26"/>
        <v>1.09</v>
      </c>
      <c r="D51" s="75">
        <f t="shared" si="27"/>
        <v>0.5970175877</v>
      </c>
      <c r="E51" s="75">
        <f t="shared" si="28"/>
        <v>0.3</v>
      </c>
      <c r="F51" s="75">
        <f t="shared" si="29"/>
        <v>1.080703696</v>
      </c>
      <c r="G51" s="75">
        <f t="shared" si="30"/>
        <v>0.00008642125983</v>
      </c>
      <c r="H51" s="75">
        <f t="shared" si="31"/>
        <v>0.009296303557</v>
      </c>
      <c r="I51" s="6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72">
        <v>3.0</v>
      </c>
      <c r="B52" s="26">
        <f t="shared" ref="B52:C52" si="32">A27</f>
        <v>0.5916079783</v>
      </c>
      <c r="C52" s="26">
        <f t="shared" si="32"/>
        <v>1.21</v>
      </c>
      <c r="D52" s="26">
        <f t="shared" si="27"/>
        <v>0.7158456538</v>
      </c>
      <c r="E52" s="26">
        <f t="shared" si="28"/>
        <v>0.35</v>
      </c>
      <c r="F52" s="26">
        <f t="shared" si="29"/>
        <v>1.176825424</v>
      </c>
      <c r="G52" s="26">
        <f t="shared" si="30"/>
        <v>0.001100552491</v>
      </c>
      <c r="H52" s="26">
        <f t="shared" si="31"/>
        <v>0.03317457597</v>
      </c>
      <c r="I52" s="6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74">
        <v>4.0</v>
      </c>
      <c r="B53" s="75">
        <f t="shared" ref="B53:C53" si="33">A28</f>
        <v>0.632455532</v>
      </c>
      <c r="C53" s="75">
        <f t="shared" si="33"/>
        <v>1.24</v>
      </c>
      <c r="D53" s="75">
        <f t="shared" si="27"/>
        <v>0.7842448597</v>
      </c>
      <c r="E53" s="75">
        <f t="shared" si="28"/>
        <v>0.4</v>
      </c>
      <c r="F53" s="75">
        <f t="shared" si="29"/>
        <v>1.266293347</v>
      </c>
      <c r="G53" s="75">
        <f t="shared" si="30"/>
        <v>0.000691340077</v>
      </c>
      <c r="H53" s="75">
        <f t="shared" si="31"/>
        <v>-0.02629334663</v>
      </c>
      <c r="I53" s="68"/>
      <c r="J53" s="76" t="s">
        <v>52</v>
      </c>
      <c r="K53" s="77" t="s">
        <v>53</v>
      </c>
      <c r="L53" s="68"/>
      <c r="M53" s="1"/>
      <c r="N53" s="78" t="s">
        <v>37</v>
      </c>
      <c r="O53" s="60" t="s">
        <v>54</v>
      </c>
      <c r="P53" s="61" t="s">
        <v>55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72">
        <v>5.0</v>
      </c>
      <c r="B54" s="26"/>
      <c r="C54" s="26"/>
      <c r="D54" s="26">
        <f t="shared" si="27"/>
        <v>0</v>
      </c>
      <c r="E54" s="26">
        <f t="shared" si="28"/>
        <v>0</v>
      </c>
      <c r="F54" s="26">
        <f t="shared" si="29"/>
        <v>0</v>
      </c>
      <c r="G54" s="26">
        <f t="shared" si="30"/>
        <v>0</v>
      </c>
      <c r="H54" s="26">
        <f t="shared" si="31"/>
        <v>0</v>
      </c>
      <c r="I54" s="68"/>
      <c r="J54" s="79">
        <f>(C61*E61-B61*D61)/(J50*E61-B61*B61)</f>
        <v>-0.1189666611</v>
      </c>
      <c r="K54" s="80">
        <f>(J50*D61-B61*C61)/(J50*E61-B61*B61)</f>
        <v>2.190288388</v>
      </c>
      <c r="L54" s="81"/>
      <c r="M54" s="1"/>
      <c r="N54" s="82">
        <f>G61/(J50-2)</f>
        <v>0.001070013199</v>
      </c>
      <c r="O54" s="82">
        <f>SQRT((N54*E61)/(J50*E61-B61*B61))</f>
        <v>0.1888862828</v>
      </c>
      <c r="P54" s="83">
        <f>SQRT((J50*N54)/(J50*E61-B61*B61))</f>
        <v>0.3313284582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74">
        <v>6.0</v>
      </c>
      <c r="B55" s="75"/>
      <c r="C55" s="75"/>
      <c r="D55" s="75">
        <f t="shared" si="27"/>
        <v>0</v>
      </c>
      <c r="E55" s="75">
        <f t="shared" si="28"/>
        <v>0</v>
      </c>
      <c r="F55" s="75">
        <f t="shared" si="29"/>
        <v>0</v>
      </c>
      <c r="G55" s="75">
        <f t="shared" si="30"/>
        <v>0</v>
      </c>
      <c r="H55" s="75">
        <f t="shared" si="31"/>
        <v>0</v>
      </c>
      <c r="I55" s="68"/>
      <c r="J55" s="81"/>
      <c r="K55" s="81"/>
      <c r="L55" s="81"/>
      <c r="M55" s="81"/>
      <c r="N55" s="81"/>
      <c r="O55" s="81"/>
      <c r="P55" s="6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72">
        <v>7.0</v>
      </c>
      <c r="B56" s="26"/>
      <c r="C56" s="26"/>
      <c r="D56" s="26">
        <f t="shared" si="27"/>
        <v>0</v>
      </c>
      <c r="E56" s="26">
        <f t="shared" si="28"/>
        <v>0</v>
      </c>
      <c r="F56" s="26">
        <f t="shared" si="29"/>
        <v>0</v>
      </c>
      <c r="G56" s="26">
        <f t="shared" si="30"/>
        <v>0</v>
      </c>
      <c r="H56" s="26">
        <f t="shared" si="31"/>
        <v>0</v>
      </c>
      <c r="I56" s="68"/>
      <c r="J56" s="81"/>
      <c r="K56" s="81"/>
      <c r="L56" s="81"/>
      <c r="M56" s="81"/>
      <c r="N56" s="81"/>
      <c r="O56" s="81"/>
      <c r="P56" s="6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74">
        <v>8.0</v>
      </c>
      <c r="B57" s="75"/>
      <c r="C57" s="75"/>
      <c r="D57" s="75">
        <f t="shared" si="27"/>
        <v>0</v>
      </c>
      <c r="E57" s="75">
        <f t="shared" si="28"/>
        <v>0</v>
      </c>
      <c r="F57" s="75">
        <f t="shared" si="29"/>
        <v>0</v>
      </c>
      <c r="G57" s="75">
        <f t="shared" si="30"/>
        <v>0</v>
      </c>
      <c r="H57" s="75">
        <f t="shared" si="31"/>
        <v>0</v>
      </c>
      <c r="I57" s="68"/>
      <c r="J57" s="81"/>
      <c r="K57" s="81"/>
      <c r="L57" s="81"/>
      <c r="M57" s="81"/>
      <c r="N57" s="81"/>
      <c r="O57" s="81"/>
      <c r="P57" s="6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72">
        <v>9.0</v>
      </c>
      <c r="B58" s="26"/>
      <c r="C58" s="26"/>
      <c r="D58" s="26">
        <f t="shared" si="27"/>
        <v>0</v>
      </c>
      <c r="E58" s="26">
        <f t="shared" si="28"/>
        <v>0</v>
      </c>
      <c r="F58" s="26">
        <f t="shared" si="29"/>
        <v>0</v>
      </c>
      <c r="G58" s="26">
        <f t="shared" si="30"/>
        <v>0</v>
      </c>
      <c r="H58" s="26">
        <f t="shared" si="31"/>
        <v>0</v>
      </c>
      <c r="I58" s="68"/>
      <c r="J58" s="84" t="s">
        <v>41</v>
      </c>
      <c r="K58" s="84">
        <f>J54</f>
        <v>-0.1189666611</v>
      </c>
      <c r="L58" s="85" t="s">
        <v>42</v>
      </c>
      <c r="M58" s="84">
        <f>O54</f>
        <v>0.1888862828</v>
      </c>
      <c r="N58" s="81"/>
      <c r="O58" s="81"/>
      <c r="P58" s="6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74">
        <v>10.0</v>
      </c>
      <c r="B59" s="75"/>
      <c r="C59" s="75"/>
      <c r="D59" s="75">
        <f t="shared" si="27"/>
        <v>0</v>
      </c>
      <c r="E59" s="75">
        <f t="shared" si="28"/>
        <v>0</v>
      </c>
      <c r="F59" s="75">
        <f t="shared" si="29"/>
        <v>0</v>
      </c>
      <c r="G59" s="75">
        <f t="shared" si="30"/>
        <v>0</v>
      </c>
      <c r="H59" s="75">
        <f t="shared" si="31"/>
        <v>0</v>
      </c>
      <c r="I59" s="68"/>
      <c r="J59" s="86" t="s">
        <v>43</v>
      </c>
      <c r="K59" s="86">
        <f>K54</f>
        <v>2.190288388</v>
      </c>
      <c r="L59" s="86" t="s">
        <v>42</v>
      </c>
      <c r="M59" s="86">
        <f>P54</f>
        <v>0.3313284582</v>
      </c>
      <c r="N59" s="81"/>
      <c r="O59" s="81"/>
      <c r="P59" s="6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72">
        <v>11.0</v>
      </c>
      <c r="B60" s="26"/>
      <c r="C60" s="26"/>
      <c r="D60" s="26">
        <f t="shared" si="27"/>
        <v>0</v>
      </c>
      <c r="E60" s="26">
        <f t="shared" si="28"/>
        <v>0</v>
      </c>
      <c r="F60" s="26">
        <f t="shared" si="29"/>
        <v>0</v>
      </c>
      <c r="G60" s="26">
        <f t="shared" si="30"/>
        <v>0</v>
      </c>
      <c r="H60" s="26">
        <f t="shared" si="31"/>
        <v>0</v>
      </c>
      <c r="I60" s="68"/>
      <c r="J60" s="68"/>
      <c r="K60" s="68"/>
      <c r="L60" s="68"/>
      <c r="M60" s="68"/>
      <c r="N60" s="68"/>
      <c r="O60" s="68"/>
      <c r="P60" s="6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72" t="s">
        <v>33</v>
      </c>
      <c r="B61" s="26">
        <f t="shared" ref="B61:H61" si="34">SUM(B50:B60)</f>
        <v>2.271786068</v>
      </c>
      <c r="C61" s="26">
        <f t="shared" si="34"/>
        <v>4.5</v>
      </c>
      <c r="D61" s="26">
        <f t="shared" si="34"/>
        <v>2.577108101</v>
      </c>
      <c r="E61" s="26">
        <f t="shared" si="34"/>
        <v>1.3</v>
      </c>
      <c r="F61" s="26">
        <f t="shared" si="34"/>
        <v>4.5</v>
      </c>
      <c r="G61" s="26">
        <f t="shared" si="34"/>
        <v>0.002140026398</v>
      </c>
      <c r="H61" s="26">
        <f t="shared" si="34"/>
        <v>0</v>
      </c>
      <c r="I61" s="68"/>
      <c r="J61" s="68"/>
      <c r="K61" s="68"/>
      <c r="L61" s="68"/>
      <c r="M61" s="68"/>
      <c r="N61" s="68"/>
      <c r="O61" s="68"/>
      <c r="P61" s="6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68"/>
      <c r="B64" s="68"/>
      <c r="C64" s="87" t="s">
        <v>56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68"/>
      <c r="B65" s="68"/>
      <c r="C65" s="88"/>
      <c r="D65" s="8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68"/>
      <c r="B66" s="68"/>
      <c r="C66" s="69" t="s">
        <v>57</v>
      </c>
      <c r="D66" s="70" t="s">
        <v>58</v>
      </c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68"/>
      <c r="B67" s="68"/>
      <c r="C67" s="89">
        <f>B50</f>
        <v>0.5</v>
      </c>
      <c r="D67" s="89">
        <f>F50</f>
        <v>0.9761775329</v>
      </c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68"/>
      <c r="B68" s="68"/>
      <c r="C68" s="90">
        <f t="shared" ref="C68:C71" si="35">IF(B51=0,C67,B51)</f>
        <v>0.5477225575</v>
      </c>
      <c r="D68" s="90">
        <f t="shared" ref="D68:D71" si="36">IF(F51=0,D67,F51)</f>
        <v>1.080703696</v>
      </c>
      <c r="E68" s="1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68"/>
      <c r="B69" s="68"/>
      <c r="C69" s="89">
        <f t="shared" si="35"/>
        <v>0.5916079783</v>
      </c>
      <c r="D69" s="89">
        <f t="shared" si="36"/>
        <v>1.176825424</v>
      </c>
      <c r="E69" s="1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90">
        <f t="shared" si="35"/>
        <v>0.632455532</v>
      </c>
      <c r="D70" s="90">
        <f t="shared" si="36"/>
        <v>1.266293347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91">
        <f t="shared" si="35"/>
        <v>0.632455532</v>
      </c>
      <c r="D71" s="91">
        <f t="shared" si="36"/>
        <v>1.266293347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92"/>
      <c r="D72" s="9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92"/>
      <c r="D73" s="9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92"/>
      <c r="D74" s="9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92"/>
      <c r="D75" s="9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92"/>
      <c r="D76" s="9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92"/>
      <c r="D77" s="9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92"/>
      <c r="D78" s="9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92"/>
      <c r="D79" s="9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92"/>
      <c r="D80" s="9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92"/>
      <c r="D81" s="9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92"/>
      <c r="D82" s="9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92"/>
      <c r="D83" s="9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92"/>
      <c r="D84" s="9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92"/>
      <c r="D85" s="9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C2:E2"/>
    <mergeCell ref="G2:H2"/>
    <mergeCell ref="J2:K2"/>
    <mergeCell ref="G3:H3"/>
    <mergeCell ref="J3:K3"/>
    <mergeCell ref="G4:H4"/>
    <mergeCell ref="G5:H5"/>
    <mergeCell ref="G6:H6"/>
    <mergeCell ref="B9:D9"/>
    <mergeCell ref="F9:H9"/>
    <mergeCell ref="I9:I10"/>
    <mergeCell ref="J9:J10"/>
    <mergeCell ref="K9:K10"/>
    <mergeCell ref="E16:G16"/>
    <mergeCell ref="G23:G24"/>
    <mergeCell ref="K26:K27"/>
    <mergeCell ref="A30:B30"/>
    <mergeCell ref="D30:E30"/>
    <mergeCell ref="D36:D37"/>
    <mergeCell ref="E36:E37"/>
    <mergeCell ref="C64:D65"/>
    <mergeCell ref="E17:G17"/>
    <mergeCell ref="E18:G18"/>
    <mergeCell ref="E19:G19"/>
    <mergeCell ref="E20:G20"/>
    <mergeCell ref="E21:G21"/>
    <mergeCell ref="C23:C24"/>
    <mergeCell ref="E23:E24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3" width="12.0"/>
    <col customWidth="1" min="4" max="4" width="10.29"/>
    <col customWidth="1" min="5" max="5" width="11.0"/>
    <col customWidth="1" min="6" max="6" width="11.71"/>
    <col customWidth="1" min="7" max="7" width="11.43"/>
    <col customWidth="1" min="8" max="8" width="12.0"/>
    <col customWidth="1" min="9" max="9" width="10.0"/>
    <col customWidth="1" min="10" max="11" width="12.71"/>
    <col customWidth="1" min="12" max="12" width="8.29"/>
    <col customWidth="1" min="13" max="13" width="22.57"/>
    <col customWidth="1" min="14" max="14" width="25.71"/>
    <col customWidth="1" min="15" max="15" width="12.71"/>
    <col customWidth="1" min="16" max="16" width="15.57"/>
    <col customWidth="1" min="17" max="26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93" t="s">
        <v>59</v>
      </c>
      <c r="C2" s="6" t="s">
        <v>60</v>
      </c>
      <c r="D2" s="4"/>
      <c r="E2" s="5"/>
      <c r="F2" s="1"/>
      <c r="G2" s="6" t="s">
        <v>2</v>
      </c>
      <c r="H2" s="5"/>
      <c r="I2" s="7">
        <v>5.0E-4</v>
      </c>
      <c r="J2" s="94"/>
      <c r="K2" s="94"/>
      <c r="L2" s="95"/>
      <c r="M2" s="9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22" t="s">
        <v>61</v>
      </c>
      <c r="C3" s="22" t="s">
        <v>62</v>
      </c>
      <c r="D3" s="22" t="s">
        <v>63</v>
      </c>
      <c r="E3" s="22" t="s">
        <v>64</v>
      </c>
      <c r="F3" s="1"/>
      <c r="G3" s="3"/>
      <c r="H3" s="5"/>
      <c r="I3" s="10"/>
      <c r="J3" s="94"/>
      <c r="K3" s="94"/>
      <c r="L3" s="95"/>
      <c r="M3" s="94"/>
      <c r="N3" s="1"/>
      <c r="O3" s="1"/>
      <c r="P3" s="29"/>
      <c r="Q3" s="29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6">
        <v>20.0</v>
      </c>
      <c r="C4" s="12">
        <v>0.8</v>
      </c>
      <c r="D4" s="12">
        <v>0.8</v>
      </c>
      <c r="E4" s="12">
        <v>0.88</v>
      </c>
      <c r="F4" s="1"/>
      <c r="G4" s="6"/>
      <c r="H4" s="5"/>
      <c r="I4" s="13"/>
      <c r="J4" s="29"/>
      <c r="K4" s="1"/>
      <c r="L4" s="1"/>
      <c r="M4" s="1"/>
      <c r="N4" s="1"/>
      <c r="O4" s="1"/>
      <c r="P4" s="29"/>
      <c r="Q4" s="29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97">
        <v>30.0</v>
      </c>
      <c r="C5" s="14">
        <v>1.45</v>
      </c>
      <c r="D5" s="14">
        <v>1.4</v>
      </c>
      <c r="E5" s="14">
        <v>1.45</v>
      </c>
      <c r="F5" s="1"/>
      <c r="G5" s="6" t="s">
        <v>65</v>
      </c>
      <c r="H5" s="5"/>
      <c r="I5" s="15">
        <v>3.0</v>
      </c>
      <c r="J5" s="1"/>
      <c r="K5" s="1"/>
      <c r="L5" s="1"/>
      <c r="M5" s="1"/>
      <c r="N5" s="1"/>
      <c r="O5" s="1"/>
      <c r="P5" s="29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6">
        <v>40.0</v>
      </c>
      <c r="C6" s="12">
        <v>1.85</v>
      </c>
      <c r="D6" s="12">
        <v>1.9</v>
      </c>
      <c r="E6" s="12">
        <v>1.9</v>
      </c>
      <c r="F6" s="1"/>
      <c r="G6" s="6" t="s">
        <v>12</v>
      </c>
      <c r="H6" s="5"/>
      <c r="I6" s="98">
        <v>5.0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97">
        <v>50.0</v>
      </c>
      <c r="C7" s="14">
        <v>2.5</v>
      </c>
      <c r="D7" s="14">
        <v>2.5</v>
      </c>
      <c r="E7" s="14">
        <v>2.35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7">
        <v>60.0</v>
      </c>
      <c r="C8" s="14">
        <v>2.98</v>
      </c>
      <c r="D8" s="14">
        <v>2.9</v>
      </c>
      <c r="E8" s="14">
        <v>2.85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99"/>
      <c r="B9" s="99"/>
      <c r="C9" s="99"/>
      <c r="D9" s="99"/>
      <c r="E9" s="99"/>
      <c r="F9" s="99"/>
      <c r="G9" s="99"/>
      <c r="H9" s="99"/>
      <c r="I9" s="99"/>
      <c r="J9" s="100"/>
      <c r="K9" s="10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7" t="str">
        <f>B2</f>
        <v>Peso</v>
      </c>
      <c r="B10" s="101" t="s">
        <v>60</v>
      </c>
      <c r="C10" s="4"/>
      <c r="D10" s="4"/>
      <c r="E10" s="19" t="s">
        <v>14</v>
      </c>
      <c r="F10" s="102" t="s">
        <v>66</v>
      </c>
      <c r="G10" s="4"/>
      <c r="H10" s="5"/>
      <c r="I10" s="20" t="s">
        <v>16</v>
      </c>
      <c r="J10" s="103" t="s">
        <v>17</v>
      </c>
      <c r="K10" s="103" t="s">
        <v>18</v>
      </c>
      <c r="L10" s="1"/>
      <c r="M10" s="104" t="s">
        <v>67</v>
      </c>
      <c r="N10" s="104" t="s">
        <v>68</v>
      </c>
      <c r="O10" s="105"/>
      <c r="P10" s="105"/>
      <c r="Q10" s="105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2" t="s">
        <v>69</v>
      </c>
      <c r="B11" s="22" t="s">
        <v>70</v>
      </c>
      <c r="C11" s="22" t="s">
        <v>71</v>
      </c>
      <c r="D11" s="22" t="s">
        <v>72</v>
      </c>
      <c r="E11" s="106" t="s">
        <v>73</v>
      </c>
      <c r="F11" s="24" t="str">
        <f t="shared" ref="F11:H11" si="1">B11</f>
        <v>D1(m)</v>
      </c>
      <c r="G11" s="24" t="str">
        <f t="shared" si="1"/>
        <v>D2(m)</v>
      </c>
      <c r="H11" s="24" t="str">
        <f t="shared" si="1"/>
        <v>D3(m)</v>
      </c>
      <c r="I11" s="25"/>
      <c r="J11" s="25"/>
      <c r="K11" s="25"/>
      <c r="L11" s="1"/>
      <c r="M11" s="107">
        <v>20.0</v>
      </c>
      <c r="N11" s="108">
        <f t="shared" ref="N11:N15" si="3">E12</f>
        <v>0.008266666667</v>
      </c>
      <c r="O11" s="109"/>
      <c r="P11" s="110"/>
      <c r="Q11" s="94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6">
        <f t="shared" ref="A12:A16" si="4">B4/1000</f>
        <v>0.02</v>
      </c>
      <c r="B12" s="27">
        <f t="shared" ref="B12:D12" si="2">C4/100</f>
        <v>0.008</v>
      </c>
      <c r="C12" s="27">
        <f t="shared" si="2"/>
        <v>0.008</v>
      </c>
      <c r="D12" s="27">
        <f t="shared" si="2"/>
        <v>0.0088</v>
      </c>
      <c r="E12" s="27">
        <f t="shared" ref="E12:E16" si="6">AVERAGE(B12:D12)</f>
        <v>0.008266666667</v>
      </c>
      <c r="F12" s="111">
        <f t="shared" ref="F12:F16" si="7">(B12-E12)^2</f>
        <v>0.00000007111111111</v>
      </c>
      <c r="G12" s="111">
        <f t="shared" ref="G12:G16" si="8">(C12-E12)^2</f>
        <v>0.00000007111111111</v>
      </c>
      <c r="H12" s="111">
        <f t="shared" ref="H12:H16" si="9">(D12-E12)^2</f>
        <v>0.0000002844444444</v>
      </c>
      <c r="I12" s="28">
        <f>SQRT((F12+G12+H12)/($I$5-1))</f>
        <v>0.0004618802154</v>
      </c>
      <c r="J12" s="28">
        <f t="shared" ref="J12:J16" si="10">I12/(SQRT($I$5))</f>
        <v>0.0002666666667</v>
      </c>
      <c r="K12" s="28">
        <f t="shared" ref="K12:K16" si="11">ROUND(J12,5)</f>
        <v>0.00027</v>
      </c>
      <c r="L12" s="1"/>
      <c r="M12" s="107">
        <v>20.0</v>
      </c>
      <c r="N12" s="108">
        <f t="shared" si="3"/>
        <v>0.01433333333</v>
      </c>
      <c r="O12" s="109"/>
      <c r="P12" s="110"/>
      <c r="Q12" s="94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6">
        <f t="shared" si="4"/>
        <v>0.03</v>
      </c>
      <c r="B13" s="27">
        <f t="shared" ref="B13:D13" si="5">C5/100</f>
        <v>0.0145</v>
      </c>
      <c r="C13" s="27">
        <f t="shared" si="5"/>
        <v>0.014</v>
      </c>
      <c r="D13" s="27">
        <f t="shared" si="5"/>
        <v>0.0145</v>
      </c>
      <c r="E13" s="27">
        <f t="shared" si="6"/>
        <v>0.01433333333</v>
      </c>
      <c r="F13" s="111">
        <f t="shared" si="7"/>
        <v>0.00000002777777778</v>
      </c>
      <c r="G13" s="111">
        <f t="shared" si="8"/>
        <v>0.0000001111111111</v>
      </c>
      <c r="H13" s="111">
        <f t="shared" si="9"/>
        <v>0.00000002777777778</v>
      </c>
      <c r="I13" s="28">
        <f t="shared" ref="I13:I16" si="13">SQRT((F13+G13+H13)/($I$5-1))</f>
        <v>0.0002886751346</v>
      </c>
      <c r="J13" s="28">
        <f t="shared" si="10"/>
        <v>0.0001666666667</v>
      </c>
      <c r="K13" s="28">
        <f t="shared" si="11"/>
        <v>0.00017</v>
      </c>
      <c r="L13" s="1"/>
      <c r="M13" s="107">
        <v>20.0</v>
      </c>
      <c r="N13" s="108">
        <f t="shared" si="3"/>
        <v>0.01883333333</v>
      </c>
      <c r="O13" s="109"/>
      <c r="P13" s="110"/>
      <c r="Q13" s="94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6">
        <f t="shared" si="4"/>
        <v>0.04</v>
      </c>
      <c r="B14" s="27">
        <f t="shared" ref="B14:D14" si="12">C6/100</f>
        <v>0.0185</v>
      </c>
      <c r="C14" s="27">
        <f t="shared" si="12"/>
        <v>0.019</v>
      </c>
      <c r="D14" s="27">
        <f t="shared" si="12"/>
        <v>0.019</v>
      </c>
      <c r="E14" s="27">
        <f t="shared" si="6"/>
        <v>0.01883333333</v>
      </c>
      <c r="F14" s="111">
        <f t="shared" si="7"/>
        <v>0.0000001111111111</v>
      </c>
      <c r="G14" s="111">
        <f t="shared" si="8"/>
        <v>0.00000002777777778</v>
      </c>
      <c r="H14" s="111">
        <f t="shared" si="9"/>
        <v>0.00000002777777778</v>
      </c>
      <c r="I14" s="28">
        <f t="shared" si="13"/>
        <v>0.0002886751346</v>
      </c>
      <c r="J14" s="28">
        <f t="shared" si="10"/>
        <v>0.0001666666667</v>
      </c>
      <c r="K14" s="28">
        <f t="shared" si="11"/>
        <v>0.00017</v>
      </c>
      <c r="L14" s="1"/>
      <c r="M14" s="107">
        <v>20.0</v>
      </c>
      <c r="N14" s="108">
        <f t="shared" si="3"/>
        <v>0.0245</v>
      </c>
      <c r="O14" s="109"/>
      <c r="P14" s="110"/>
      <c r="Q14" s="94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6">
        <f t="shared" si="4"/>
        <v>0.05</v>
      </c>
      <c r="B15" s="27">
        <f t="shared" ref="B15:D15" si="14">C7/100</f>
        <v>0.025</v>
      </c>
      <c r="C15" s="27">
        <f t="shared" si="14"/>
        <v>0.025</v>
      </c>
      <c r="D15" s="27">
        <f t="shared" si="14"/>
        <v>0.0235</v>
      </c>
      <c r="E15" s="27">
        <f t="shared" si="6"/>
        <v>0.0245</v>
      </c>
      <c r="F15" s="111">
        <f t="shared" si="7"/>
        <v>0.00000025</v>
      </c>
      <c r="G15" s="111">
        <f t="shared" si="8"/>
        <v>0.00000025</v>
      </c>
      <c r="H15" s="111">
        <f t="shared" si="9"/>
        <v>0.000001</v>
      </c>
      <c r="I15" s="28">
        <f t="shared" si="13"/>
        <v>0.0008660254038</v>
      </c>
      <c r="J15" s="28">
        <f t="shared" si="10"/>
        <v>0.0005</v>
      </c>
      <c r="K15" s="28">
        <f t="shared" si="11"/>
        <v>0.0005</v>
      </c>
      <c r="L15" s="1"/>
      <c r="M15" s="107">
        <v>20.0</v>
      </c>
      <c r="N15" s="108">
        <f t="shared" si="3"/>
        <v>0.0291</v>
      </c>
      <c r="O15" s="109"/>
      <c r="P15" s="110"/>
      <c r="Q15" s="94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6">
        <f t="shared" si="4"/>
        <v>0.06</v>
      </c>
      <c r="B16" s="27">
        <f t="shared" ref="B16:D16" si="15">C8/100</f>
        <v>0.0298</v>
      </c>
      <c r="C16" s="27">
        <f t="shared" si="15"/>
        <v>0.029</v>
      </c>
      <c r="D16" s="27">
        <f t="shared" si="15"/>
        <v>0.0285</v>
      </c>
      <c r="E16" s="27">
        <f t="shared" si="6"/>
        <v>0.0291</v>
      </c>
      <c r="F16" s="111">
        <f t="shared" si="7"/>
        <v>0.00000049</v>
      </c>
      <c r="G16" s="111">
        <f t="shared" si="8"/>
        <v>0.00000001</v>
      </c>
      <c r="H16" s="111">
        <f t="shared" si="9"/>
        <v>0.00000036</v>
      </c>
      <c r="I16" s="28">
        <f t="shared" si="13"/>
        <v>0.0006557438524</v>
      </c>
      <c r="J16" s="28">
        <f t="shared" si="10"/>
        <v>0.0003785938897</v>
      </c>
      <c r="K16" s="28">
        <f t="shared" si="11"/>
        <v>0.00038</v>
      </c>
      <c r="L16" s="1"/>
      <c r="M16" s="1"/>
      <c r="N16" s="1"/>
      <c r="O16" s="1"/>
      <c r="P16" s="112" t="s">
        <v>74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29"/>
      <c r="F17" s="1"/>
      <c r="G17" s="1"/>
      <c r="H17" s="1"/>
      <c r="I17" s="1"/>
      <c r="J17" s="1"/>
      <c r="K17" s="1"/>
      <c r="L17" s="1"/>
      <c r="M17" s="113" t="s">
        <v>75</v>
      </c>
      <c r="N17" s="113" t="s">
        <v>76</v>
      </c>
      <c r="O17" s="1"/>
      <c r="P17" s="1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93" t="s">
        <v>59</v>
      </c>
      <c r="E18" s="6" t="s">
        <v>22</v>
      </c>
      <c r="F18" s="4"/>
      <c r="G18" s="5"/>
      <c r="H18" s="1"/>
      <c r="I18" s="1"/>
      <c r="J18" s="1"/>
      <c r="K18" s="1"/>
      <c r="L18" s="1"/>
      <c r="M18" s="115" t="s">
        <v>77</v>
      </c>
      <c r="N18" s="113" t="s">
        <v>78</v>
      </c>
      <c r="O18" s="112"/>
      <c r="P18" s="1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 t="s">
        <v>23</v>
      </c>
      <c r="D19" s="9" t="str">
        <f t="shared" ref="D19:D24" si="16">A11</f>
        <v>massa (kg)</v>
      </c>
      <c r="E19" s="116" t="s">
        <v>24</v>
      </c>
      <c r="F19" s="31"/>
      <c r="G19" s="31"/>
      <c r="H19" s="1"/>
      <c r="I19" s="1"/>
      <c r="J19" s="1"/>
      <c r="K19" s="1"/>
      <c r="L19" s="1"/>
      <c r="M19" s="114"/>
      <c r="N19" s="117"/>
      <c r="O19" s="1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7">
        <v>5.0E-4</v>
      </c>
      <c r="D20" s="27">
        <f t="shared" si="16"/>
        <v>0.02</v>
      </c>
      <c r="E20" s="33">
        <f t="shared" ref="E20:E24" si="17">D20</f>
        <v>0.02</v>
      </c>
      <c r="F20" s="34"/>
      <c r="G20" s="35"/>
      <c r="H20" s="7"/>
      <c r="I20" s="1"/>
      <c r="J20" s="1"/>
      <c r="K20" s="1"/>
      <c r="L20" s="1"/>
      <c r="M20" s="118" t="s">
        <v>79</v>
      </c>
      <c r="N20" s="118">
        <v>20.0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8">
        <v>5.0E-4</v>
      </c>
      <c r="D21" s="27">
        <f t="shared" si="16"/>
        <v>0.03</v>
      </c>
      <c r="E21" s="33">
        <f t="shared" si="17"/>
        <v>0.03</v>
      </c>
      <c r="F21" s="34"/>
      <c r="G21" s="3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8">
        <v>5.0E-4</v>
      </c>
      <c r="D22" s="27">
        <f t="shared" si="16"/>
        <v>0.04</v>
      </c>
      <c r="E22" s="33">
        <f t="shared" si="17"/>
        <v>0.04</v>
      </c>
      <c r="F22" s="34"/>
      <c r="G22" s="35"/>
      <c r="H22" s="119"/>
      <c r="I22" s="1"/>
      <c r="J22" s="1"/>
      <c r="K22" s="1"/>
      <c r="L22" s="1"/>
      <c r="M22" s="29" t="s">
        <v>74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8">
        <v>5.0E-4</v>
      </c>
      <c r="D23" s="27">
        <f t="shared" si="16"/>
        <v>0.05</v>
      </c>
      <c r="E23" s="33">
        <f t="shared" si="17"/>
        <v>0.05</v>
      </c>
      <c r="F23" s="34"/>
      <c r="G23" s="35"/>
      <c r="H23" s="120"/>
      <c r="I23" s="1"/>
      <c r="J23" s="1"/>
      <c r="K23" s="1"/>
      <c r="L23" s="1"/>
      <c r="M23" s="29" t="s">
        <v>77</v>
      </c>
      <c r="N23" s="29" t="s">
        <v>78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8">
        <v>5.0E-4</v>
      </c>
      <c r="D24" s="27">
        <f t="shared" si="16"/>
        <v>0.06</v>
      </c>
      <c r="E24" s="33">
        <f t="shared" si="17"/>
        <v>0.06</v>
      </c>
      <c r="F24" s="34"/>
      <c r="G24" s="35"/>
      <c r="H24" s="12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H25" s="1"/>
      <c r="I25" s="1"/>
      <c r="J25" s="1"/>
      <c r="K25" s="1"/>
      <c r="L25" s="1"/>
      <c r="M25" s="121" t="s">
        <v>80</v>
      </c>
      <c r="N25" s="121" t="s">
        <v>81</v>
      </c>
      <c r="O25" s="121" t="s">
        <v>82</v>
      </c>
      <c r="P25" s="121" t="s">
        <v>83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9" t="s">
        <v>24</v>
      </c>
      <c r="B26" s="17" t="s">
        <v>14</v>
      </c>
      <c r="C26" s="122" t="s">
        <v>18</v>
      </c>
      <c r="D26" s="37" t="s">
        <v>27</v>
      </c>
      <c r="E26" s="38" t="s">
        <v>28</v>
      </c>
      <c r="F26" s="1"/>
      <c r="G26" s="123" t="s">
        <v>29</v>
      </c>
      <c r="H26" s="1"/>
      <c r="I26" s="1"/>
      <c r="J26" s="1"/>
      <c r="K26" s="1"/>
      <c r="L26" s="1"/>
      <c r="M26" s="29" t="s">
        <v>84</v>
      </c>
      <c r="N26" s="121" t="s">
        <v>85</v>
      </c>
      <c r="O26" s="121" t="s">
        <v>86</v>
      </c>
      <c r="P26" s="121" t="s">
        <v>87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"/>
      <c r="B27" s="17" t="str">
        <f t="shared" ref="B27:B32" si="18">E11</f>
        <v>D méd</v>
      </c>
      <c r="C27" s="39"/>
      <c r="D27" s="40" t="s">
        <v>30</v>
      </c>
      <c r="E27" s="41"/>
      <c r="F27" s="1"/>
      <c r="G27" s="41"/>
      <c r="H27" s="1"/>
      <c r="I27" s="1"/>
      <c r="J27" s="1"/>
      <c r="K27" s="1"/>
      <c r="L27" s="1"/>
      <c r="M27" s="29" t="s">
        <v>88</v>
      </c>
      <c r="N27" s="121" t="s">
        <v>89</v>
      </c>
      <c r="O27" s="1"/>
      <c r="P27" s="29" t="s">
        <v>90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2">
        <f t="shared" ref="A28:A32" si="19">E20</f>
        <v>0.02</v>
      </c>
      <c r="B28" s="124">
        <f t="shared" si="18"/>
        <v>0.008266666667</v>
      </c>
      <c r="C28" s="124">
        <f t="shared" ref="C28:C32" si="20">ROUND((K12+$I$2),4)</f>
        <v>0.0008</v>
      </c>
      <c r="D28" s="42">
        <f t="shared" ref="D28:D32" si="21">A28*B28</f>
        <v>0.0001653333333</v>
      </c>
      <c r="E28" s="42">
        <f t="shared" ref="E28:E32" si="22">A28^2</f>
        <v>0.0004</v>
      </c>
      <c r="F28" s="1"/>
      <c r="G28" s="125">
        <f t="shared" ref="G28:G32" si="23">(B28-$D$40-$E$40*A28)^2</f>
        <v>0.0000001393777778</v>
      </c>
      <c r="H28" s="1"/>
      <c r="I28" s="94"/>
      <c r="J28" s="94"/>
      <c r="K28" s="94"/>
      <c r="L28" s="94"/>
      <c r="M28" s="29" t="s">
        <v>34</v>
      </c>
      <c r="N28" s="29" t="s">
        <v>91</v>
      </c>
      <c r="O28" s="1"/>
      <c r="P28" s="121" t="s">
        <v>92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26">
        <f t="shared" si="19"/>
        <v>0.03</v>
      </c>
      <c r="B29" s="124">
        <f t="shared" si="18"/>
        <v>0.01433333333</v>
      </c>
      <c r="C29" s="124">
        <f t="shared" si="20"/>
        <v>0.0007</v>
      </c>
      <c r="D29" s="26">
        <f t="shared" si="21"/>
        <v>0.00043</v>
      </c>
      <c r="E29" s="26">
        <f t="shared" si="22"/>
        <v>0.0009</v>
      </c>
      <c r="F29" s="1"/>
      <c r="G29" s="125">
        <f t="shared" si="23"/>
        <v>0.0000002601</v>
      </c>
      <c r="H29" s="1"/>
      <c r="I29" s="94"/>
      <c r="J29" s="94"/>
      <c r="K29" s="94"/>
      <c r="L29" s="9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42">
        <f t="shared" si="19"/>
        <v>0.04</v>
      </c>
      <c r="B30" s="124">
        <f t="shared" si="18"/>
        <v>0.01883333333</v>
      </c>
      <c r="C30" s="124">
        <f t="shared" si="20"/>
        <v>0.0007</v>
      </c>
      <c r="D30" s="42">
        <f t="shared" si="21"/>
        <v>0.0007533333333</v>
      </c>
      <c r="E30" s="42">
        <f t="shared" si="22"/>
        <v>0.0016</v>
      </c>
      <c r="F30" s="1"/>
      <c r="G30" s="125">
        <f t="shared" si="23"/>
        <v>0.00000003004444444</v>
      </c>
      <c r="H30" s="1"/>
      <c r="I30" s="94"/>
      <c r="J30" s="94"/>
      <c r="K30" s="94"/>
      <c r="L30" s="94"/>
      <c r="M30" s="29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6">
        <f t="shared" si="19"/>
        <v>0.05</v>
      </c>
      <c r="B31" s="124">
        <f t="shared" si="18"/>
        <v>0.0245</v>
      </c>
      <c r="C31" s="124">
        <f t="shared" si="20"/>
        <v>0.001</v>
      </c>
      <c r="D31" s="26">
        <f t="shared" si="21"/>
        <v>0.001225</v>
      </c>
      <c r="E31" s="26">
        <f t="shared" si="22"/>
        <v>0.0025</v>
      </c>
      <c r="F31" s="1"/>
      <c r="G31" s="125">
        <f t="shared" si="23"/>
        <v>0.0000000961</v>
      </c>
      <c r="H31" s="1"/>
      <c r="I31" s="94"/>
      <c r="J31" s="94"/>
      <c r="K31" s="126"/>
      <c r="L31" s="9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6">
        <f t="shared" si="19"/>
        <v>0.06</v>
      </c>
      <c r="B32" s="124">
        <f t="shared" si="18"/>
        <v>0.0291</v>
      </c>
      <c r="C32" s="124">
        <f t="shared" si="20"/>
        <v>0.0009</v>
      </c>
      <c r="D32" s="26">
        <f t="shared" si="21"/>
        <v>0.001746</v>
      </c>
      <c r="E32" s="26">
        <f t="shared" si="22"/>
        <v>0.0036</v>
      </c>
      <c r="F32" s="1"/>
      <c r="G32" s="125">
        <f t="shared" si="23"/>
        <v>0.00000007471111111</v>
      </c>
      <c r="H32" s="1"/>
      <c r="I32" s="94"/>
      <c r="J32" s="94"/>
      <c r="K32" s="126"/>
      <c r="L32" s="94"/>
      <c r="M32" s="1"/>
      <c r="N32" s="29" t="s">
        <v>78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8">
        <f t="shared" ref="A33:B33" si="24">SUM(A28:A32)</f>
        <v>0.2</v>
      </c>
      <c r="B33" s="53">
        <f t="shared" si="24"/>
        <v>0.09503333333</v>
      </c>
      <c r="C33" s="50"/>
      <c r="D33" s="51">
        <f t="shared" ref="D33:E33" si="25">SUM(D28:D32)</f>
        <v>0.004319666667</v>
      </c>
      <c r="E33" s="52">
        <f t="shared" si="25"/>
        <v>0.009</v>
      </c>
      <c r="F33" s="1"/>
      <c r="G33" s="127">
        <f>SUM(G28:G31)</f>
        <v>0.0000005256222222</v>
      </c>
      <c r="H33" s="1"/>
      <c r="I33" s="94"/>
      <c r="J33" s="94"/>
      <c r="K33" s="126"/>
      <c r="L33" s="94"/>
      <c r="M33" s="29"/>
      <c r="N33" s="29" t="s">
        <v>93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54" t="s">
        <v>33</v>
      </c>
      <c r="B34" s="5"/>
      <c r="C34" s="1"/>
      <c r="D34" s="54" t="s">
        <v>33</v>
      </c>
      <c r="E34" s="5"/>
      <c r="F34" s="1"/>
      <c r="G34" s="53" t="s">
        <v>33</v>
      </c>
      <c r="H34" s="1"/>
      <c r="I34" s="94"/>
      <c r="J34" s="94"/>
      <c r="K34" s="126"/>
      <c r="L34" s="94"/>
      <c r="M34" s="1"/>
      <c r="N34" s="29" t="s">
        <v>94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94"/>
      <c r="J35" s="94"/>
      <c r="K35" s="94"/>
      <c r="L35" s="9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28"/>
      <c r="H38" s="129" t="s">
        <v>95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9" t="s">
        <v>34</v>
      </c>
      <c r="E39" s="9" t="s">
        <v>35</v>
      </c>
      <c r="F39" s="1"/>
      <c r="G39" s="46" t="s">
        <v>36</v>
      </c>
      <c r="H39" s="130">
        <f>E40*N20</f>
        <v>10.36666667</v>
      </c>
      <c r="I39" s="1"/>
      <c r="J39" s="1"/>
      <c r="K39" s="1"/>
      <c r="L39" s="1"/>
      <c r="M39" s="29"/>
      <c r="N39" s="13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55">
        <f>((B33*E33)-(D33*A33))/((I6*E33)-(A33^2))</f>
        <v>-0.001726666667</v>
      </c>
      <c r="E40" s="56">
        <f>((I6*D33)-(A33*B33))/((I6*E33)-(A33^2))</f>
        <v>0.5183333333</v>
      </c>
      <c r="F40" s="1"/>
      <c r="G40" s="1"/>
      <c r="H40" s="1"/>
      <c r="I40" s="5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58"/>
      <c r="E41" s="5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59" t="s">
        <v>37</v>
      </c>
      <c r="D44" s="23" t="s">
        <v>38</v>
      </c>
      <c r="E44" s="60" t="s">
        <v>39</v>
      </c>
      <c r="F44" s="61" t="s">
        <v>40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62">
        <f>(G33/(I6-2))</f>
        <v>0.0000001752074074</v>
      </c>
      <c r="D45" s="27">
        <f>SQRT((G33/(I6-2)))</f>
        <v>0.0004185778391</v>
      </c>
      <c r="E45" s="28">
        <f> SQRT((E33*D45^2)/((I6*E33)-(A33^2)))</f>
        <v>0.0005615811013</v>
      </c>
      <c r="F45" s="28">
        <f> SQRT((I6*D45^2)/((I6*E33)-(A33^2)))</f>
        <v>0.0132365935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63" t="s">
        <v>41</v>
      </c>
      <c r="D48" s="132">
        <f>D40</f>
        <v>-0.001726666667</v>
      </c>
      <c r="E48" s="63" t="s">
        <v>42</v>
      </c>
      <c r="F48" s="132">
        <f>E45</f>
        <v>0.0005615811013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65" t="s">
        <v>43</v>
      </c>
      <c r="D49" s="133">
        <f>E40</f>
        <v>0.5183333333</v>
      </c>
      <c r="E49" s="65" t="s">
        <v>42</v>
      </c>
      <c r="F49" s="133">
        <f>F45</f>
        <v>0.0132365935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69"/>
      <c r="B53" s="69" t="s">
        <v>44</v>
      </c>
      <c r="C53" s="69" t="s">
        <v>45</v>
      </c>
      <c r="D53" s="69" t="s">
        <v>46</v>
      </c>
      <c r="E53" s="69" t="s">
        <v>47</v>
      </c>
      <c r="F53" s="69" t="s">
        <v>48</v>
      </c>
      <c r="G53" s="69" t="s">
        <v>49</v>
      </c>
      <c r="H53" s="70" t="s">
        <v>50</v>
      </c>
      <c r="I53" s="68"/>
      <c r="J53" s="71" t="s">
        <v>51</v>
      </c>
      <c r="K53" s="68"/>
      <c r="L53" s="68"/>
      <c r="M53" s="68"/>
      <c r="N53" s="68"/>
      <c r="O53" s="68"/>
      <c r="P53" s="6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72">
        <v>1.0</v>
      </c>
      <c r="B54" s="26">
        <f t="shared" ref="B54:C54" si="26">A28</f>
        <v>0.02</v>
      </c>
      <c r="C54" s="26">
        <f t="shared" si="26"/>
        <v>0.008266666667</v>
      </c>
      <c r="D54" s="28">
        <f t="shared" ref="D54:D64" si="28">B54*C54</f>
        <v>0.0001653333333</v>
      </c>
      <c r="E54" s="28">
        <f t="shared" ref="E54:E64" si="29">B54*B54</f>
        <v>0.0004</v>
      </c>
      <c r="F54" s="28">
        <f t="shared" ref="F54:F64" si="30">IF(C54=0,0,$J$58+$K$58*B54)</f>
        <v>0.00864</v>
      </c>
      <c r="G54" s="134">
        <f t="shared" ref="G54:G64" si="31">IF(C54=0,0,(C54-F54)*(C54-F54))</f>
        <v>0.0000001393777778</v>
      </c>
      <c r="H54" s="134">
        <f t="shared" ref="H54:H64" si="32">C54-F54</f>
        <v>-0.0003733333333</v>
      </c>
      <c r="I54" s="68"/>
      <c r="J54" s="73">
        <f>COUNTA(B54:B64)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74">
        <v>2.0</v>
      </c>
      <c r="B55" s="75">
        <f t="shared" ref="B55:C55" si="27">A29</f>
        <v>0.03</v>
      </c>
      <c r="C55" s="75">
        <f t="shared" si="27"/>
        <v>0.01433333333</v>
      </c>
      <c r="D55" s="135">
        <f t="shared" si="28"/>
        <v>0.00043</v>
      </c>
      <c r="E55" s="135">
        <f t="shared" si="29"/>
        <v>0.0009</v>
      </c>
      <c r="F55" s="135">
        <f t="shared" si="30"/>
        <v>0.01382333333</v>
      </c>
      <c r="G55" s="136">
        <f t="shared" si="31"/>
        <v>0.0000002601</v>
      </c>
      <c r="H55" s="136">
        <f t="shared" si="32"/>
        <v>0.00051</v>
      </c>
      <c r="I55" s="6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72">
        <v>3.0</v>
      </c>
      <c r="B56" s="26">
        <f t="shared" ref="B56:C56" si="33">A30</f>
        <v>0.04</v>
      </c>
      <c r="C56" s="26">
        <f t="shared" si="33"/>
        <v>0.01883333333</v>
      </c>
      <c r="D56" s="28">
        <f t="shared" si="28"/>
        <v>0.0007533333333</v>
      </c>
      <c r="E56" s="28">
        <f t="shared" si="29"/>
        <v>0.0016</v>
      </c>
      <c r="F56" s="28">
        <f t="shared" si="30"/>
        <v>0.01900666667</v>
      </c>
      <c r="G56" s="134">
        <f t="shared" si="31"/>
        <v>0.00000003004444444</v>
      </c>
      <c r="H56" s="134">
        <f t="shared" si="32"/>
        <v>-0.0001733333333</v>
      </c>
      <c r="I56" s="6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74">
        <v>4.0</v>
      </c>
      <c r="B57" s="75">
        <f t="shared" ref="B57:C57" si="34">A31</f>
        <v>0.05</v>
      </c>
      <c r="C57" s="75">
        <f t="shared" si="34"/>
        <v>0.0245</v>
      </c>
      <c r="D57" s="135">
        <f t="shared" si="28"/>
        <v>0.001225</v>
      </c>
      <c r="E57" s="135">
        <f t="shared" si="29"/>
        <v>0.0025</v>
      </c>
      <c r="F57" s="135">
        <f t="shared" si="30"/>
        <v>0.02419</v>
      </c>
      <c r="G57" s="136">
        <f t="shared" si="31"/>
        <v>0.0000000961</v>
      </c>
      <c r="H57" s="136">
        <f t="shared" si="32"/>
        <v>0.00031</v>
      </c>
      <c r="I57" s="68"/>
      <c r="J57" s="76" t="s">
        <v>52</v>
      </c>
      <c r="K57" s="77" t="s">
        <v>53</v>
      </c>
      <c r="L57" s="68"/>
      <c r="M57" s="1"/>
      <c r="N57" s="78" t="s">
        <v>37</v>
      </c>
      <c r="O57" s="60" t="s">
        <v>54</v>
      </c>
      <c r="P57" s="61" t="s">
        <v>55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72">
        <v>5.0</v>
      </c>
      <c r="B58" s="75">
        <f t="shared" ref="B58:C58" si="35">A32</f>
        <v>0.06</v>
      </c>
      <c r="C58" s="75">
        <f t="shared" si="35"/>
        <v>0.0291</v>
      </c>
      <c r="D58" s="135">
        <f t="shared" si="28"/>
        <v>0.001746</v>
      </c>
      <c r="E58" s="135">
        <f t="shared" si="29"/>
        <v>0.0036</v>
      </c>
      <c r="F58" s="135">
        <f t="shared" si="30"/>
        <v>0.02937333333</v>
      </c>
      <c r="G58" s="136">
        <f t="shared" si="31"/>
        <v>0.00000007471111111</v>
      </c>
      <c r="H58" s="136">
        <f t="shared" si="32"/>
        <v>-0.0002733333333</v>
      </c>
      <c r="I58" s="68"/>
      <c r="J58" s="79">
        <f>(C65*E65-B65*D65)/(J54*E65-B65*B65)</f>
        <v>-0.001726666667</v>
      </c>
      <c r="K58" s="80">
        <f>(J54*D65-B65*C65)/(J54*E65-B65*B65)</f>
        <v>0.5183333333</v>
      </c>
      <c r="L58" s="81"/>
      <c r="M58" s="1"/>
      <c r="N58" s="82">
        <f>G65/(J54-2)</f>
        <v>0.0000002001111111</v>
      </c>
      <c r="O58" s="82">
        <f>SQRT((N58*E65)/(J54*E65-B65*B65))</f>
        <v>0.0006001666435</v>
      </c>
      <c r="P58" s="83">
        <f>SQRT((J54*N58)/(J54*E65-B65*B65))</f>
        <v>0.01414606345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74">
        <v>6.0</v>
      </c>
      <c r="B59" s="75"/>
      <c r="C59" s="75"/>
      <c r="D59" s="135">
        <f t="shared" si="28"/>
        <v>0</v>
      </c>
      <c r="E59" s="135">
        <f t="shared" si="29"/>
        <v>0</v>
      </c>
      <c r="F59" s="135">
        <f t="shared" si="30"/>
        <v>0</v>
      </c>
      <c r="G59" s="136">
        <f t="shared" si="31"/>
        <v>0</v>
      </c>
      <c r="H59" s="136">
        <f t="shared" si="32"/>
        <v>0</v>
      </c>
      <c r="I59" s="68"/>
      <c r="J59" s="81"/>
      <c r="K59" s="81"/>
      <c r="L59" s="81"/>
      <c r="M59" s="81"/>
      <c r="N59" s="81"/>
      <c r="O59" s="81"/>
      <c r="P59" s="6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72">
        <v>7.0</v>
      </c>
      <c r="B60" s="26"/>
      <c r="C60" s="26"/>
      <c r="D60" s="28">
        <f t="shared" si="28"/>
        <v>0</v>
      </c>
      <c r="E60" s="28">
        <f t="shared" si="29"/>
        <v>0</v>
      </c>
      <c r="F60" s="28">
        <f t="shared" si="30"/>
        <v>0</v>
      </c>
      <c r="G60" s="134">
        <f t="shared" si="31"/>
        <v>0</v>
      </c>
      <c r="H60" s="134">
        <f t="shared" si="32"/>
        <v>0</v>
      </c>
      <c r="I60" s="68"/>
      <c r="J60" s="81"/>
      <c r="K60" s="81"/>
      <c r="L60" s="81"/>
      <c r="M60" s="81"/>
      <c r="N60" s="81"/>
      <c r="O60" s="81"/>
      <c r="P60" s="6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74">
        <v>8.0</v>
      </c>
      <c r="B61" s="75"/>
      <c r="C61" s="75"/>
      <c r="D61" s="135">
        <f t="shared" si="28"/>
        <v>0</v>
      </c>
      <c r="E61" s="135">
        <f t="shared" si="29"/>
        <v>0</v>
      </c>
      <c r="F61" s="135">
        <f t="shared" si="30"/>
        <v>0</v>
      </c>
      <c r="G61" s="136">
        <f t="shared" si="31"/>
        <v>0</v>
      </c>
      <c r="H61" s="136">
        <f t="shared" si="32"/>
        <v>0</v>
      </c>
      <c r="I61" s="68"/>
      <c r="J61" s="81"/>
      <c r="K61" s="81"/>
      <c r="L61" s="81"/>
      <c r="M61" s="81"/>
      <c r="N61" s="81"/>
      <c r="O61" s="81"/>
      <c r="P61" s="6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72">
        <v>9.0</v>
      </c>
      <c r="B62" s="26"/>
      <c r="C62" s="26"/>
      <c r="D62" s="28">
        <f t="shared" si="28"/>
        <v>0</v>
      </c>
      <c r="E62" s="28">
        <f t="shared" si="29"/>
        <v>0</v>
      </c>
      <c r="F62" s="28">
        <f t="shared" si="30"/>
        <v>0</v>
      </c>
      <c r="G62" s="134">
        <f t="shared" si="31"/>
        <v>0</v>
      </c>
      <c r="H62" s="134">
        <f t="shared" si="32"/>
        <v>0</v>
      </c>
      <c r="I62" s="68"/>
      <c r="J62" s="84" t="s">
        <v>41</v>
      </c>
      <c r="K62" s="84">
        <f>J58</f>
        <v>-0.001726666667</v>
      </c>
      <c r="L62" s="84" t="s">
        <v>42</v>
      </c>
      <c r="M62" s="84">
        <f>O58</f>
        <v>0.0006001666435</v>
      </c>
      <c r="N62" s="81"/>
      <c r="O62" s="81"/>
      <c r="P62" s="6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74">
        <v>10.0</v>
      </c>
      <c r="B63" s="75"/>
      <c r="C63" s="75"/>
      <c r="D63" s="135">
        <f t="shared" si="28"/>
        <v>0</v>
      </c>
      <c r="E63" s="135">
        <f t="shared" si="29"/>
        <v>0</v>
      </c>
      <c r="F63" s="135">
        <f t="shared" si="30"/>
        <v>0</v>
      </c>
      <c r="G63" s="136">
        <f t="shared" si="31"/>
        <v>0</v>
      </c>
      <c r="H63" s="136">
        <f t="shared" si="32"/>
        <v>0</v>
      </c>
      <c r="I63" s="68"/>
      <c r="J63" s="86" t="s">
        <v>43</v>
      </c>
      <c r="K63" s="86">
        <f>K58</f>
        <v>0.5183333333</v>
      </c>
      <c r="L63" s="86" t="s">
        <v>42</v>
      </c>
      <c r="M63" s="86">
        <f>P58</f>
        <v>0.01414606345</v>
      </c>
      <c r="N63" s="81"/>
      <c r="O63" s="81"/>
      <c r="P63" s="6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72">
        <v>11.0</v>
      </c>
      <c r="B64" s="26"/>
      <c r="C64" s="26"/>
      <c r="D64" s="28">
        <f t="shared" si="28"/>
        <v>0</v>
      </c>
      <c r="E64" s="28">
        <f t="shared" si="29"/>
        <v>0</v>
      </c>
      <c r="F64" s="28">
        <f t="shared" si="30"/>
        <v>0</v>
      </c>
      <c r="G64" s="134">
        <f t="shared" si="31"/>
        <v>0</v>
      </c>
      <c r="H64" s="134">
        <f t="shared" si="32"/>
        <v>0</v>
      </c>
      <c r="I64" s="68"/>
      <c r="J64" s="68"/>
      <c r="K64" s="68"/>
      <c r="L64" s="68"/>
      <c r="M64" s="68"/>
      <c r="N64" s="68"/>
      <c r="O64" s="68"/>
      <c r="P64" s="6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72" t="s">
        <v>33</v>
      </c>
      <c r="B65" s="26">
        <f t="shared" ref="B65:H65" si="36">SUM(B54:B64)</f>
        <v>0.2</v>
      </c>
      <c r="C65" s="26">
        <f t="shared" si="36"/>
        <v>0.09503333333</v>
      </c>
      <c r="D65" s="28">
        <f t="shared" si="36"/>
        <v>0.004319666667</v>
      </c>
      <c r="E65" s="28">
        <f t="shared" si="36"/>
        <v>0.009</v>
      </c>
      <c r="F65" s="28">
        <f t="shared" si="36"/>
        <v>0.09503333333</v>
      </c>
      <c r="G65" s="134">
        <f t="shared" si="36"/>
        <v>0.0000006003333333</v>
      </c>
      <c r="H65" s="134">
        <f t="shared" si="36"/>
        <v>0</v>
      </c>
      <c r="I65" s="68"/>
      <c r="J65" s="68"/>
      <c r="K65" s="68"/>
      <c r="L65" s="68"/>
      <c r="M65" s="68"/>
      <c r="N65" s="68"/>
      <c r="O65" s="68"/>
      <c r="P65" s="6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68"/>
      <c r="B66" s="68"/>
      <c r="C66" s="68"/>
      <c r="D66" s="137"/>
      <c r="E66" s="137"/>
      <c r="F66" s="137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68"/>
      <c r="B68" s="68"/>
      <c r="C68" s="87" t="s">
        <v>56</v>
      </c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68"/>
      <c r="B69" s="68"/>
      <c r="C69" s="88"/>
      <c r="D69" s="8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68"/>
      <c r="B70" s="68"/>
      <c r="C70" s="69" t="s">
        <v>57</v>
      </c>
      <c r="D70" s="70" t="s">
        <v>58</v>
      </c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68"/>
      <c r="B71" s="68"/>
      <c r="C71" s="89">
        <f>B54</f>
        <v>0.02</v>
      </c>
      <c r="D71" s="89">
        <f>F54</f>
        <v>0.00864</v>
      </c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68"/>
      <c r="B72" s="68"/>
      <c r="C72" s="90">
        <f t="shared" ref="C72:C75" si="37">IF(B55=0,C71,B55)</f>
        <v>0.03</v>
      </c>
      <c r="D72" s="90">
        <f t="shared" ref="D72:D75" si="38">IF(F55=0,D71,F55)</f>
        <v>0.01382333333</v>
      </c>
      <c r="E72" s="1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68"/>
      <c r="B73" s="68"/>
      <c r="C73" s="89">
        <f t="shared" si="37"/>
        <v>0.04</v>
      </c>
      <c r="D73" s="89">
        <f t="shared" si="38"/>
        <v>0.01900666667</v>
      </c>
      <c r="E73" s="1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90">
        <f t="shared" si="37"/>
        <v>0.05</v>
      </c>
      <c r="D74" s="90">
        <f t="shared" si="38"/>
        <v>0.02419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91">
        <f t="shared" si="37"/>
        <v>0.06</v>
      </c>
      <c r="D75" s="91">
        <f t="shared" si="38"/>
        <v>0.02937333333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92"/>
      <c r="D76" s="9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92"/>
      <c r="D77" s="9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92"/>
      <c r="D78" s="9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92"/>
      <c r="D79" s="9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92"/>
      <c r="D80" s="9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92"/>
      <c r="D81" s="9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92"/>
      <c r="D82" s="9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92"/>
      <c r="D83" s="9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92"/>
      <c r="D84" s="9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92"/>
      <c r="D85" s="9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92"/>
      <c r="D86" s="9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92"/>
      <c r="D87" s="9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92"/>
      <c r="D88" s="9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92"/>
      <c r="D89" s="9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7">
    <mergeCell ref="C2:E2"/>
    <mergeCell ref="G2:H2"/>
    <mergeCell ref="G3:H3"/>
    <mergeCell ref="G4:H4"/>
    <mergeCell ref="G5:H5"/>
    <mergeCell ref="G6:H6"/>
    <mergeCell ref="B10:D10"/>
    <mergeCell ref="F10:H10"/>
    <mergeCell ref="I10:I11"/>
    <mergeCell ref="J10:J11"/>
    <mergeCell ref="K10:K11"/>
    <mergeCell ref="E18:G18"/>
    <mergeCell ref="E19:G19"/>
    <mergeCell ref="E20:G20"/>
    <mergeCell ref="C26:C27"/>
    <mergeCell ref="A34:B34"/>
    <mergeCell ref="D34:E34"/>
    <mergeCell ref="D40:D41"/>
    <mergeCell ref="E40:E41"/>
    <mergeCell ref="C68:D69"/>
    <mergeCell ref="E21:G21"/>
    <mergeCell ref="E22:G22"/>
    <mergeCell ref="E23:G23"/>
    <mergeCell ref="E24:G24"/>
    <mergeCell ref="E25:G25"/>
    <mergeCell ref="E26:E27"/>
    <mergeCell ref="G26:G27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3" width="12.0"/>
    <col customWidth="1" min="4" max="4" width="10.29"/>
    <col customWidth="1" min="5" max="5" width="11.0"/>
    <col customWidth="1" min="6" max="6" width="11.71"/>
    <col customWidth="1" min="7" max="7" width="11.43"/>
    <col customWidth="1" min="8" max="8" width="12.0"/>
    <col customWidth="1" min="9" max="9" width="10.0"/>
    <col customWidth="1" min="10" max="11" width="12.71"/>
    <col customWidth="1" min="12" max="12" width="8.29"/>
    <col customWidth="1" min="13" max="13" width="22.57"/>
    <col customWidth="1" min="14" max="14" width="25.71"/>
    <col customWidth="1" min="15" max="15" width="12.71"/>
    <col customWidth="1" min="16" max="16" width="15.57"/>
    <col customWidth="1" min="17" max="26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93" t="s">
        <v>59</v>
      </c>
      <c r="C2" s="6" t="s">
        <v>60</v>
      </c>
      <c r="D2" s="4"/>
      <c r="E2" s="5"/>
      <c r="F2" s="1"/>
      <c r="G2" s="6" t="s">
        <v>2</v>
      </c>
      <c r="H2" s="5"/>
      <c r="I2" s="7">
        <v>5.0E-4</v>
      </c>
      <c r="J2" s="94"/>
      <c r="K2" s="94"/>
      <c r="L2" s="95"/>
      <c r="M2" s="9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22" t="s">
        <v>61</v>
      </c>
      <c r="C3" s="22" t="s">
        <v>62</v>
      </c>
      <c r="D3" s="22" t="s">
        <v>63</v>
      </c>
      <c r="E3" s="22" t="s">
        <v>64</v>
      </c>
      <c r="F3" s="1"/>
      <c r="G3" s="3"/>
      <c r="H3" s="5"/>
      <c r="I3" s="10"/>
      <c r="J3" s="94"/>
      <c r="K3" s="94"/>
      <c r="L3" s="95"/>
      <c r="M3" s="94"/>
      <c r="N3" s="1"/>
      <c r="O3" s="1"/>
      <c r="P3" s="29"/>
      <c r="Q3" s="29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6">
        <v>20.0</v>
      </c>
      <c r="C4" s="12">
        <v>6.5</v>
      </c>
      <c r="D4" s="12">
        <v>6.49</v>
      </c>
      <c r="E4" s="12">
        <v>6.7</v>
      </c>
      <c r="F4" s="1"/>
      <c r="G4" s="6"/>
      <c r="H4" s="5"/>
      <c r="I4" s="13"/>
      <c r="J4" s="29"/>
      <c r="K4" s="1"/>
      <c r="L4" s="1"/>
      <c r="M4" s="1"/>
      <c r="N4" s="1"/>
      <c r="O4" s="1"/>
      <c r="P4" s="29"/>
      <c r="Q4" s="29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97">
        <v>30.0</v>
      </c>
      <c r="C5" s="14">
        <v>9.8</v>
      </c>
      <c r="D5" s="14">
        <v>9.6</v>
      </c>
      <c r="E5" s="14">
        <v>9.85</v>
      </c>
      <c r="F5" s="1"/>
      <c r="G5" s="6" t="s">
        <v>65</v>
      </c>
      <c r="H5" s="5"/>
      <c r="I5" s="15">
        <v>3.0</v>
      </c>
      <c r="J5" s="1"/>
      <c r="K5" s="1"/>
      <c r="L5" s="1"/>
      <c r="M5" s="1"/>
      <c r="N5" s="1"/>
      <c r="O5" s="1"/>
      <c r="P5" s="29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6">
        <v>40.0</v>
      </c>
      <c r="C6" s="12">
        <v>10.27</v>
      </c>
      <c r="D6" s="12">
        <v>12.86</v>
      </c>
      <c r="E6" s="12">
        <v>12.9</v>
      </c>
      <c r="F6" s="1"/>
      <c r="G6" s="6" t="s">
        <v>12</v>
      </c>
      <c r="H6" s="5"/>
      <c r="I6" s="98">
        <v>5.0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97">
        <v>50.0</v>
      </c>
      <c r="C7" s="14">
        <v>15.95</v>
      </c>
      <c r="D7" s="14">
        <v>16.5</v>
      </c>
      <c r="E7" s="14">
        <v>16.15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7">
        <v>60.0</v>
      </c>
      <c r="C8" s="14">
        <v>19.1</v>
      </c>
      <c r="D8" s="14">
        <v>18.6</v>
      </c>
      <c r="E8" s="14">
        <v>19.3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99"/>
      <c r="B9" s="99"/>
      <c r="C9" s="99"/>
      <c r="D9" s="99"/>
      <c r="E9" s="99"/>
      <c r="F9" s="99"/>
      <c r="G9" s="99"/>
      <c r="H9" s="99"/>
      <c r="I9" s="99"/>
      <c r="J9" s="100"/>
      <c r="K9" s="10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7" t="str">
        <f>B2</f>
        <v>Peso</v>
      </c>
      <c r="B10" s="101" t="s">
        <v>60</v>
      </c>
      <c r="C10" s="4"/>
      <c r="D10" s="4"/>
      <c r="E10" s="19" t="s">
        <v>14</v>
      </c>
      <c r="F10" s="102" t="s">
        <v>96</v>
      </c>
      <c r="G10" s="4"/>
      <c r="H10" s="5"/>
      <c r="I10" s="20" t="s">
        <v>16</v>
      </c>
      <c r="J10" s="103" t="s">
        <v>17</v>
      </c>
      <c r="K10" s="103" t="s">
        <v>18</v>
      </c>
      <c r="L10" s="1"/>
      <c r="M10" s="104" t="s">
        <v>67</v>
      </c>
      <c r="N10" s="104" t="s">
        <v>68</v>
      </c>
      <c r="O10" s="105"/>
      <c r="P10" s="105"/>
      <c r="Q10" s="105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2" t="s">
        <v>69</v>
      </c>
      <c r="B11" s="22" t="s">
        <v>70</v>
      </c>
      <c r="C11" s="22" t="s">
        <v>71</v>
      </c>
      <c r="D11" s="22" t="s">
        <v>72</v>
      </c>
      <c r="E11" s="106" t="s">
        <v>73</v>
      </c>
      <c r="F11" s="24" t="str">
        <f t="shared" ref="F11:H11" si="1">B11</f>
        <v>D1(m)</v>
      </c>
      <c r="G11" s="24" t="str">
        <f t="shared" si="1"/>
        <v>D2(m)</v>
      </c>
      <c r="H11" s="24" t="str">
        <f t="shared" si="1"/>
        <v>D3(m)</v>
      </c>
      <c r="I11" s="25"/>
      <c r="J11" s="25"/>
      <c r="K11" s="25"/>
      <c r="L11" s="1"/>
      <c r="M11" s="107">
        <v>20.0</v>
      </c>
      <c r="N11" s="108">
        <f t="shared" ref="N11:N15" si="3">E12</f>
        <v>0.06563333333</v>
      </c>
      <c r="O11" s="109"/>
      <c r="P11" s="110"/>
      <c r="Q11" s="94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6">
        <f t="shared" ref="A12:A16" si="4">B4/1000</f>
        <v>0.02</v>
      </c>
      <c r="B12" s="27">
        <f t="shared" ref="B12:D12" si="2">C4/100</f>
        <v>0.065</v>
      </c>
      <c r="C12" s="27">
        <f t="shared" si="2"/>
        <v>0.0649</v>
      </c>
      <c r="D12" s="27">
        <f t="shared" si="2"/>
        <v>0.067</v>
      </c>
      <c r="E12" s="27">
        <f t="shared" ref="E12:E16" si="6">AVERAGE(B12:D12)</f>
        <v>0.06563333333</v>
      </c>
      <c r="F12" s="111">
        <f t="shared" ref="F12:F16" si="7">(B12-E12)^2</f>
        <v>0.0000004011111111</v>
      </c>
      <c r="G12" s="111">
        <f t="shared" ref="G12:G16" si="8">(C12-E12)^2</f>
        <v>0.0000005377777778</v>
      </c>
      <c r="H12" s="111">
        <f t="shared" ref="H12:H16" si="9">(D12-E12)^2</f>
        <v>0.000001867777778</v>
      </c>
      <c r="I12" s="28">
        <f>SQRT((F12+G12+H12)/($I$5-1))</f>
        <v>0.00118462371</v>
      </c>
      <c r="J12" s="28">
        <f t="shared" ref="J12:J16" si="10">I12/(SQRT($I$5))</f>
        <v>0.0006839428176</v>
      </c>
      <c r="K12" s="28">
        <f t="shared" ref="K12:K16" si="11">ROUND(J12,5)</f>
        <v>0.00068</v>
      </c>
      <c r="L12" s="1"/>
      <c r="M12" s="107">
        <v>20.0</v>
      </c>
      <c r="N12" s="108">
        <f t="shared" si="3"/>
        <v>0.0975</v>
      </c>
      <c r="O12" s="109"/>
      <c r="P12" s="110"/>
      <c r="Q12" s="94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6">
        <f t="shared" si="4"/>
        <v>0.03</v>
      </c>
      <c r="B13" s="27">
        <f t="shared" ref="B13:D13" si="5">C5/100</f>
        <v>0.098</v>
      </c>
      <c r="C13" s="27">
        <f t="shared" si="5"/>
        <v>0.096</v>
      </c>
      <c r="D13" s="27">
        <f t="shared" si="5"/>
        <v>0.0985</v>
      </c>
      <c r="E13" s="27">
        <f t="shared" si="6"/>
        <v>0.0975</v>
      </c>
      <c r="F13" s="111">
        <f t="shared" si="7"/>
        <v>0.00000025</v>
      </c>
      <c r="G13" s="111">
        <f t="shared" si="8"/>
        <v>0.00000225</v>
      </c>
      <c r="H13" s="111">
        <f t="shared" si="9"/>
        <v>0.000001</v>
      </c>
      <c r="I13" s="28">
        <f t="shared" ref="I13:I16" si="13">SQRT((F13+G13+H13)/($I$5-1))</f>
        <v>0.001322875656</v>
      </c>
      <c r="J13" s="28">
        <f t="shared" si="10"/>
        <v>0.0007637626158</v>
      </c>
      <c r="K13" s="28">
        <f t="shared" si="11"/>
        <v>0.00076</v>
      </c>
      <c r="L13" s="1"/>
      <c r="M13" s="107">
        <v>20.0</v>
      </c>
      <c r="N13" s="108">
        <f t="shared" si="3"/>
        <v>0.1201</v>
      </c>
      <c r="O13" s="109"/>
      <c r="P13" s="110"/>
      <c r="Q13" s="94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6">
        <f t="shared" si="4"/>
        <v>0.04</v>
      </c>
      <c r="B14" s="27">
        <f t="shared" ref="B14:D14" si="12">C6/100</f>
        <v>0.1027</v>
      </c>
      <c r="C14" s="27">
        <f t="shared" si="12"/>
        <v>0.1286</v>
      </c>
      <c r="D14" s="27">
        <f t="shared" si="12"/>
        <v>0.129</v>
      </c>
      <c r="E14" s="27">
        <f t="shared" si="6"/>
        <v>0.1201</v>
      </c>
      <c r="F14" s="111">
        <f t="shared" si="7"/>
        <v>0.00030276</v>
      </c>
      <c r="G14" s="111">
        <f t="shared" si="8"/>
        <v>0.00007225</v>
      </c>
      <c r="H14" s="111">
        <f t="shared" si="9"/>
        <v>0.00007921</v>
      </c>
      <c r="I14" s="28">
        <f t="shared" si="13"/>
        <v>0.01507016921</v>
      </c>
      <c r="J14" s="28">
        <f t="shared" si="10"/>
        <v>0.00870076625</v>
      </c>
      <c r="K14" s="28">
        <f t="shared" si="11"/>
        <v>0.0087</v>
      </c>
      <c r="L14" s="1"/>
      <c r="M14" s="107">
        <v>20.0</v>
      </c>
      <c r="N14" s="108">
        <f t="shared" si="3"/>
        <v>0.162</v>
      </c>
      <c r="O14" s="109"/>
      <c r="P14" s="110"/>
      <c r="Q14" s="94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6">
        <f t="shared" si="4"/>
        <v>0.05</v>
      </c>
      <c r="B15" s="27">
        <f t="shared" ref="B15:D15" si="14">C7/100</f>
        <v>0.1595</v>
      </c>
      <c r="C15" s="27">
        <f t="shared" si="14"/>
        <v>0.165</v>
      </c>
      <c r="D15" s="27">
        <f t="shared" si="14"/>
        <v>0.1615</v>
      </c>
      <c r="E15" s="27">
        <f t="shared" si="6"/>
        <v>0.162</v>
      </c>
      <c r="F15" s="111">
        <f t="shared" si="7"/>
        <v>0.00000625</v>
      </c>
      <c r="G15" s="111">
        <f t="shared" si="8"/>
        <v>0.000009</v>
      </c>
      <c r="H15" s="111">
        <f t="shared" si="9"/>
        <v>0.00000025</v>
      </c>
      <c r="I15" s="28">
        <f t="shared" si="13"/>
        <v>0.002783882181</v>
      </c>
      <c r="J15" s="28">
        <f t="shared" si="10"/>
        <v>0.001607275127</v>
      </c>
      <c r="K15" s="28">
        <f t="shared" si="11"/>
        <v>0.00161</v>
      </c>
      <c r="L15" s="1"/>
      <c r="M15" s="107">
        <v>20.0</v>
      </c>
      <c r="N15" s="108">
        <f t="shared" si="3"/>
        <v>0.19</v>
      </c>
      <c r="O15" s="109"/>
      <c r="P15" s="110"/>
      <c r="Q15" s="94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6">
        <f t="shared" si="4"/>
        <v>0.06</v>
      </c>
      <c r="B16" s="27">
        <f t="shared" ref="B16:D16" si="15">C8/100</f>
        <v>0.191</v>
      </c>
      <c r="C16" s="27">
        <f t="shared" si="15"/>
        <v>0.186</v>
      </c>
      <c r="D16" s="27">
        <f t="shared" si="15"/>
        <v>0.193</v>
      </c>
      <c r="E16" s="27">
        <f t="shared" si="6"/>
        <v>0.19</v>
      </c>
      <c r="F16" s="111">
        <f t="shared" si="7"/>
        <v>0.000001</v>
      </c>
      <c r="G16" s="111">
        <f t="shared" si="8"/>
        <v>0.000016</v>
      </c>
      <c r="H16" s="111">
        <f t="shared" si="9"/>
        <v>0.000009</v>
      </c>
      <c r="I16" s="28">
        <f t="shared" si="13"/>
        <v>0.003605551275</v>
      </c>
      <c r="J16" s="28">
        <f t="shared" si="10"/>
        <v>0.002081665999</v>
      </c>
      <c r="K16" s="28">
        <f t="shared" si="11"/>
        <v>0.00208</v>
      </c>
      <c r="L16" s="1"/>
      <c r="M16" s="1"/>
      <c r="N16" s="1"/>
      <c r="O16" s="1"/>
      <c r="P16" s="112" t="s">
        <v>74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29"/>
      <c r="F17" s="1"/>
      <c r="G17" s="1"/>
      <c r="H17" s="1"/>
      <c r="I17" s="1"/>
      <c r="J17" s="1"/>
      <c r="K17" s="1"/>
      <c r="L17" s="1"/>
      <c r="M17" s="113" t="s">
        <v>75</v>
      </c>
      <c r="N17" s="113" t="s">
        <v>76</v>
      </c>
      <c r="O17" s="1"/>
      <c r="P17" s="1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93" t="s">
        <v>59</v>
      </c>
      <c r="E18" s="6" t="s">
        <v>22</v>
      </c>
      <c r="F18" s="4"/>
      <c r="G18" s="5"/>
      <c r="H18" s="1"/>
      <c r="I18" s="1"/>
      <c r="J18" s="1"/>
      <c r="K18" s="1"/>
      <c r="L18" s="1"/>
      <c r="M18" s="115" t="s">
        <v>77</v>
      </c>
      <c r="N18" s="113" t="s">
        <v>78</v>
      </c>
      <c r="O18" s="112"/>
      <c r="P18" s="1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 t="s">
        <v>23</v>
      </c>
      <c r="D19" s="9" t="str">
        <f t="shared" ref="D19:D24" si="16">A11</f>
        <v>massa (kg)</v>
      </c>
      <c r="E19" s="116" t="s">
        <v>24</v>
      </c>
      <c r="F19" s="31"/>
      <c r="G19" s="31"/>
      <c r="H19" s="1"/>
      <c r="I19" s="1"/>
      <c r="J19" s="1"/>
      <c r="K19" s="1"/>
      <c r="L19" s="1"/>
      <c r="M19" s="114"/>
      <c r="N19" s="117"/>
      <c r="O19" s="1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7">
        <v>5.0E-4</v>
      </c>
      <c r="D20" s="27">
        <f t="shared" si="16"/>
        <v>0.02</v>
      </c>
      <c r="E20" s="33">
        <f t="shared" ref="E20:E24" si="17">D20</f>
        <v>0.02</v>
      </c>
      <c r="F20" s="34"/>
      <c r="G20" s="35"/>
      <c r="H20" s="7"/>
      <c r="I20" s="1"/>
      <c r="J20" s="1"/>
      <c r="K20" s="1"/>
      <c r="L20" s="1"/>
      <c r="M20" s="118" t="s">
        <v>79</v>
      </c>
      <c r="N20" s="118">
        <v>3.0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8">
        <v>5.0E-4</v>
      </c>
      <c r="D21" s="27">
        <f t="shared" si="16"/>
        <v>0.03</v>
      </c>
      <c r="E21" s="33">
        <f t="shared" si="17"/>
        <v>0.03</v>
      </c>
      <c r="F21" s="34"/>
      <c r="G21" s="3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8">
        <v>5.0E-4</v>
      </c>
      <c r="D22" s="27">
        <f t="shared" si="16"/>
        <v>0.04</v>
      </c>
      <c r="E22" s="33">
        <f t="shared" si="17"/>
        <v>0.04</v>
      </c>
      <c r="F22" s="34"/>
      <c r="G22" s="35"/>
      <c r="H22" s="119"/>
      <c r="I22" s="1"/>
      <c r="J22" s="1"/>
      <c r="K22" s="1"/>
      <c r="L22" s="1"/>
      <c r="M22" s="29" t="s">
        <v>74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8">
        <v>5.0E-4</v>
      </c>
      <c r="D23" s="27">
        <f t="shared" si="16"/>
        <v>0.05</v>
      </c>
      <c r="E23" s="33">
        <f t="shared" si="17"/>
        <v>0.05</v>
      </c>
      <c r="F23" s="34"/>
      <c r="G23" s="35"/>
      <c r="H23" s="120"/>
      <c r="I23" s="1"/>
      <c r="J23" s="1"/>
      <c r="K23" s="1"/>
      <c r="L23" s="1"/>
      <c r="M23" s="29" t="s">
        <v>77</v>
      </c>
      <c r="N23" s="29" t="s">
        <v>78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8">
        <v>5.0E-4</v>
      </c>
      <c r="D24" s="27">
        <f t="shared" si="16"/>
        <v>0.06</v>
      </c>
      <c r="E24" s="33">
        <f t="shared" si="17"/>
        <v>0.06</v>
      </c>
      <c r="F24" s="34"/>
      <c r="G24" s="35"/>
      <c r="H24" s="12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H25" s="1"/>
      <c r="I25" s="1"/>
      <c r="J25" s="1"/>
      <c r="K25" s="1"/>
      <c r="L25" s="1"/>
      <c r="M25" s="121" t="s">
        <v>80</v>
      </c>
      <c r="N25" s="121" t="s">
        <v>81</v>
      </c>
      <c r="O25" s="121" t="s">
        <v>82</v>
      </c>
      <c r="P25" s="121" t="s">
        <v>83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9" t="s">
        <v>24</v>
      </c>
      <c r="B26" s="17" t="s">
        <v>14</v>
      </c>
      <c r="C26" s="122" t="s">
        <v>18</v>
      </c>
      <c r="D26" s="37" t="s">
        <v>27</v>
      </c>
      <c r="E26" s="38" t="s">
        <v>28</v>
      </c>
      <c r="F26" s="1"/>
      <c r="G26" s="123" t="s">
        <v>29</v>
      </c>
      <c r="H26" s="1"/>
      <c r="I26" s="1"/>
      <c r="J26" s="1"/>
      <c r="K26" s="1"/>
      <c r="L26" s="1"/>
      <c r="M26" s="29" t="s">
        <v>84</v>
      </c>
      <c r="N26" s="121" t="s">
        <v>85</v>
      </c>
      <c r="O26" s="121" t="s">
        <v>86</v>
      </c>
      <c r="P26" s="121" t="s">
        <v>87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"/>
      <c r="B27" s="17" t="str">
        <f t="shared" ref="B27:B32" si="18">E11</f>
        <v>D méd</v>
      </c>
      <c r="C27" s="39"/>
      <c r="D27" s="40" t="s">
        <v>30</v>
      </c>
      <c r="E27" s="41"/>
      <c r="F27" s="1"/>
      <c r="G27" s="41"/>
      <c r="H27" s="1"/>
      <c r="I27" s="1"/>
      <c r="J27" s="1"/>
      <c r="K27" s="1"/>
      <c r="L27" s="1"/>
      <c r="M27" s="29" t="s">
        <v>88</v>
      </c>
      <c r="N27" s="121" t="s">
        <v>89</v>
      </c>
      <c r="O27" s="1"/>
      <c r="P27" s="29" t="s">
        <v>90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2">
        <f t="shared" ref="A28:A32" si="19">E20</f>
        <v>0.02</v>
      </c>
      <c r="B28" s="124">
        <f t="shared" si="18"/>
        <v>0.06563333333</v>
      </c>
      <c r="C28" s="124">
        <f t="shared" ref="C28:C32" si="20">ROUND((K12+$I$2),4)</f>
        <v>0.0012</v>
      </c>
      <c r="D28" s="42">
        <f t="shared" ref="D28:D32" si="21">A28*B28</f>
        <v>0.001312666667</v>
      </c>
      <c r="E28" s="42">
        <f t="shared" ref="E28:E32" si="22">A28^2</f>
        <v>0.0004</v>
      </c>
      <c r="F28" s="1"/>
      <c r="G28" s="125">
        <f t="shared" ref="G28:G32" si="23">(B28-$D$40-$E$40*A28)^2</f>
        <v>0.000001521111111</v>
      </c>
      <c r="H28" s="1"/>
      <c r="I28" s="94"/>
      <c r="J28" s="94"/>
      <c r="K28" s="94"/>
      <c r="L28" s="94"/>
      <c r="M28" s="29" t="s">
        <v>34</v>
      </c>
      <c r="N28" s="29" t="s">
        <v>91</v>
      </c>
      <c r="O28" s="1"/>
      <c r="P28" s="121" t="s">
        <v>92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26">
        <f t="shared" si="19"/>
        <v>0.03</v>
      </c>
      <c r="B29" s="124">
        <f t="shared" si="18"/>
        <v>0.0975</v>
      </c>
      <c r="C29" s="124">
        <f t="shared" si="20"/>
        <v>0.0013</v>
      </c>
      <c r="D29" s="26">
        <f t="shared" si="21"/>
        <v>0.002925</v>
      </c>
      <c r="E29" s="26">
        <f t="shared" si="22"/>
        <v>0.0009</v>
      </c>
      <c r="F29" s="1"/>
      <c r="G29" s="125">
        <f t="shared" si="23"/>
        <v>0.000003156544444</v>
      </c>
      <c r="H29" s="1"/>
      <c r="I29" s="94"/>
      <c r="J29" s="94"/>
      <c r="K29" s="94"/>
      <c r="L29" s="9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42">
        <f t="shared" si="19"/>
        <v>0.04</v>
      </c>
      <c r="B30" s="124">
        <f t="shared" si="18"/>
        <v>0.1201</v>
      </c>
      <c r="C30" s="124">
        <f t="shared" si="20"/>
        <v>0.0092</v>
      </c>
      <c r="D30" s="42">
        <f t="shared" si="21"/>
        <v>0.004804</v>
      </c>
      <c r="E30" s="42">
        <f t="shared" si="22"/>
        <v>0.0016</v>
      </c>
      <c r="F30" s="1"/>
      <c r="G30" s="125">
        <f t="shared" si="23"/>
        <v>0.00004825617778</v>
      </c>
      <c r="H30" s="1"/>
      <c r="I30" s="94"/>
      <c r="J30" s="94"/>
      <c r="K30" s="94"/>
      <c r="L30" s="94"/>
      <c r="M30" s="29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6">
        <f t="shared" si="19"/>
        <v>0.05</v>
      </c>
      <c r="B31" s="124">
        <f t="shared" si="18"/>
        <v>0.162</v>
      </c>
      <c r="C31" s="124">
        <f t="shared" si="20"/>
        <v>0.0021</v>
      </c>
      <c r="D31" s="26">
        <f t="shared" si="21"/>
        <v>0.0081</v>
      </c>
      <c r="E31" s="26">
        <f t="shared" si="22"/>
        <v>0.0025</v>
      </c>
      <c r="F31" s="1"/>
      <c r="G31" s="125">
        <f t="shared" si="23"/>
        <v>0.0000131769</v>
      </c>
      <c r="H31" s="1"/>
      <c r="I31" s="94"/>
      <c r="J31" s="94"/>
      <c r="K31" s="126"/>
      <c r="L31" s="9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6">
        <f t="shared" si="19"/>
        <v>0.06</v>
      </c>
      <c r="B32" s="124">
        <f t="shared" si="18"/>
        <v>0.19</v>
      </c>
      <c r="C32" s="124">
        <f t="shared" si="20"/>
        <v>0.0026</v>
      </c>
      <c r="D32" s="26">
        <f t="shared" si="21"/>
        <v>0.0114</v>
      </c>
      <c r="E32" s="26">
        <f t="shared" si="22"/>
        <v>0.0036</v>
      </c>
      <c r="F32" s="1"/>
      <c r="G32" s="125">
        <f t="shared" si="23"/>
        <v>0.00000009404444444</v>
      </c>
      <c r="H32" s="1"/>
      <c r="I32" s="94"/>
      <c r="J32" s="94"/>
      <c r="K32" s="126"/>
      <c r="L32" s="94"/>
      <c r="M32" s="1"/>
      <c r="N32" s="29" t="s">
        <v>78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8">
        <f t="shared" ref="A33:B33" si="24">SUM(A28:A32)</f>
        <v>0.2</v>
      </c>
      <c r="B33" s="53">
        <f t="shared" si="24"/>
        <v>0.6352333333</v>
      </c>
      <c r="C33" s="50"/>
      <c r="D33" s="51">
        <f t="shared" ref="D33:E33" si="25">SUM(D28:D32)</f>
        <v>0.02854166667</v>
      </c>
      <c r="E33" s="52">
        <f t="shared" si="25"/>
        <v>0.009</v>
      </c>
      <c r="F33" s="1"/>
      <c r="G33" s="127">
        <f>SUM(G28:G31)</f>
        <v>0.00006611073333</v>
      </c>
      <c r="H33" s="1"/>
      <c r="I33" s="94"/>
      <c r="J33" s="94"/>
      <c r="K33" s="126"/>
      <c r="L33" s="94"/>
      <c r="M33" s="29"/>
      <c r="N33" s="29" t="s">
        <v>93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54" t="s">
        <v>33</v>
      </c>
      <c r="B34" s="5"/>
      <c r="C34" s="1"/>
      <c r="D34" s="54" t="s">
        <v>33</v>
      </c>
      <c r="E34" s="5"/>
      <c r="F34" s="1"/>
      <c r="G34" s="53" t="s">
        <v>33</v>
      </c>
      <c r="H34" s="1"/>
      <c r="I34" s="94"/>
      <c r="J34" s="94"/>
      <c r="K34" s="126"/>
      <c r="L34" s="94"/>
      <c r="M34" s="1"/>
      <c r="N34" s="29" t="s">
        <v>94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94"/>
      <c r="J35" s="94"/>
      <c r="K35" s="94"/>
      <c r="L35" s="9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28"/>
      <c r="H38" s="129" t="s">
        <v>95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9" t="s">
        <v>34</v>
      </c>
      <c r="E39" s="9" t="s">
        <v>35</v>
      </c>
      <c r="F39" s="1"/>
      <c r="G39" s="46" t="s">
        <v>36</v>
      </c>
      <c r="H39" s="130">
        <f>E40*N20</f>
        <v>9.397</v>
      </c>
      <c r="I39" s="1"/>
      <c r="J39" s="1"/>
      <c r="K39" s="1"/>
      <c r="L39" s="1"/>
      <c r="M39" s="29"/>
      <c r="N39" s="13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55">
        <f>((B33*E33)-(D33*A33))/((I6*E33)-(A33^2))</f>
        <v>0.001753333333</v>
      </c>
      <c r="E40" s="56">
        <f>((I6*D33)-(A33*B33))/((I6*E33)-(A33^2))</f>
        <v>3.132333333</v>
      </c>
      <c r="F40" s="1"/>
      <c r="G40" s="1"/>
      <c r="H40" s="1"/>
      <c r="I40" s="5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58"/>
      <c r="E41" s="5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59" t="s">
        <v>37</v>
      </c>
      <c r="D44" s="23" t="s">
        <v>38</v>
      </c>
      <c r="E44" s="60" t="s">
        <v>39</v>
      </c>
      <c r="F44" s="61" t="s">
        <v>40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62">
        <f>(G33/(I6-2))</f>
        <v>0.00002203691111</v>
      </c>
      <c r="D45" s="27">
        <f>SQRT((G33/(I6-2)))</f>
        <v>0.004694348848</v>
      </c>
      <c r="E45" s="28">
        <f> SQRT((E33*D45^2)/((I6*E33)-(A33^2)))</f>
        <v>0.006298129881</v>
      </c>
      <c r="F45" s="28">
        <f> SQRT((I6*D45^2)/((I6*E33)-(A33^2)))</f>
        <v>0.1484483449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63" t="s">
        <v>41</v>
      </c>
      <c r="D48" s="132">
        <f>D40</f>
        <v>0.001753333333</v>
      </c>
      <c r="E48" s="63" t="s">
        <v>42</v>
      </c>
      <c r="F48" s="132">
        <f>E45</f>
        <v>0.006298129881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65" t="s">
        <v>43</v>
      </c>
      <c r="D49" s="133">
        <f>E40</f>
        <v>3.132333333</v>
      </c>
      <c r="E49" s="65" t="s">
        <v>42</v>
      </c>
      <c r="F49" s="133">
        <f>F45</f>
        <v>0.1484483449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69"/>
      <c r="B53" s="69" t="s">
        <v>44</v>
      </c>
      <c r="C53" s="69" t="s">
        <v>45</v>
      </c>
      <c r="D53" s="69" t="s">
        <v>46</v>
      </c>
      <c r="E53" s="69" t="s">
        <v>47</v>
      </c>
      <c r="F53" s="69" t="s">
        <v>48</v>
      </c>
      <c r="G53" s="69" t="s">
        <v>49</v>
      </c>
      <c r="H53" s="70" t="s">
        <v>50</v>
      </c>
      <c r="I53" s="68"/>
      <c r="J53" s="71" t="s">
        <v>51</v>
      </c>
      <c r="K53" s="68"/>
      <c r="L53" s="68"/>
      <c r="M53" s="68"/>
      <c r="N53" s="68"/>
      <c r="O53" s="68"/>
      <c r="P53" s="6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72">
        <v>1.0</v>
      </c>
      <c r="B54" s="26">
        <f t="shared" ref="B54:C54" si="26">A28</f>
        <v>0.02</v>
      </c>
      <c r="C54" s="26">
        <f t="shared" si="26"/>
        <v>0.06563333333</v>
      </c>
      <c r="D54" s="28">
        <f t="shared" ref="D54:D64" si="28">B54*C54</f>
        <v>0.001312666667</v>
      </c>
      <c r="E54" s="28">
        <f t="shared" ref="E54:E64" si="29">B54*B54</f>
        <v>0.0004</v>
      </c>
      <c r="F54" s="28">
        <f t="shared" ref="F54:F64" si="30">IF(C54=0,0,$J$58+$K$58*B54)</f>
        <v>0.0644</v>
      </c>
      <c r="G54" s="134">
        <f t="shared" ref="G54:G64" si="31">IF(C54=0,0,(C54-F54)*(C54-F54))</f>
        <v>0.000001521111111</v>
      </c>
      <c r="H54" s="134">
        <f t="shared" ref="H54:H64" si="32">C54-F54</f>
        <v>0.001233333333</v>
      </c>
      <c r="I54" s="68"/>
      <c r="J54" s="73">
        <f>COUNTA(B54:B64)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74">
        <v>2.0</v>
      </c>
      <c r="B55" s="75">
        <f t="shared" ref="B55:C55" si="27">A29</f>
        <v>0.03</v>
      </c>
      <c r="C55" s="75">
        <f t="shared" si="27"/>
        <v>0.0975</v>
      </c>
      <c r="D55" s="135">
        <f t="shared" si="28"/>
        <v>0.002925</v>
      </c>
      <c r="E55" s="135">
        <f t="shared" si="29"/>
        <v>0.0009</v>
      </c>
      <c r="F55" s="135">
        <f t="shared" si="30"/>
        <v>0.09572333333</v>
      </c>
      <c r="G55" s="136">
        <f t="shared" si="31"/>
        <v>0.000003156544444</v>
      </c>
      <c r="H55" s="136">
        <f t="shared" si="32"/>
        <v>0.001776666667</v>
      </c>
      <c r="I55" s="6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72">
        <v>3.0</v>
      </c>
      <c r="B56" s="26">
        <f t="shared" ref="B56:C56" si="33">A30</f>
        <v>0.04</v>
      </c>
      <c r="C56" s="26">
        <f t="shared" si="33"/>
        <v>0.1201</v>
      </c>
      <c r="D56" s="28">
        <f t="shared" si="28"/>
        <v>0.004804</v>
      </c>
      <c r="E56" s="28">
        <f t="shared" si="29"/>
        <v>0.0016</v>
      </c>
      <c r="F56" s="28">
        <f t="shared" si="30"/>
        <v>0.1270466667</v>
      </c>
      <c r="G56" s="134">
        <f t="shared" si="31"/>
        <v>0.00004825617778</v>
      </c>
      <c r="H56" s="134">
        <f t="shared" si="32"/>
        <v>-0.006946666667</v>
      </c>
      <c r="I56" s="6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74">
        <v>4.0</v>
      </c>
      <c r="B57" s="75">
        <f t="shared" ref="B57:C57" si="34">A31</f>
        <v>0.05</v>
      </c>
      <c r="C57" s="75">
        <f t="shared" si="34"/>
        <v>0.162</v>
      </c>
      <c r="D57" s="135">
        <f t="shared" si="28"/>
        <v>0.0081</v>
      </c>
      <c r="E57" s="135">
        <f t="shared" si="29"/>
        <v>0.0025</v>
      </c>
      <c r="F57" s="135">
        <f t="shared" si="30"/>
        <v>0.15837</v>
      </c>
      <c r="G57" s="136">
        <f t="shared" si="31"/>
        <v>0.0000131769</v>
      </c>
      <c r="H57" s="136">
        <f t="shared" si="32"/>
        <v>0.00363</v>
      </c>
      <c r="I57" s="68"/>
      <c r="J57" s="76" t="s">
        <v>52</v>
      </c>
      <c r="K57" s="77" t="s">
        <v>53</v>
      </c>
      <c r="L57" s="68"/>
      <c r="M57" s="1"/>
      <c r="N57" s="78" t="s">
        <v>37</v>
      </c>
      <c r="O57" s="60" t="s">
        <v>54</v>
      </c>
      <c r="P57" s="61" t="s">
        <v>55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72">
        <v>5.0</v>
      </c>
      <c r="B58" s="75">
        <f t="shared" ref="B58:C58" si="35">A32</f>
        <v>0.06</v>
      </c>
      <c r="C58" s="75">
        <f t="shared" si="35"/>
        <v>0.19</v>
      </c>
      <c r="D58" s="135">
        <f t="shared" si="28"/>
        <v>0.0114</v>
      </c>
      <c r="E58" s="135">
        <f t="shared" si="29"/>
        <v>0.0036</v>
      </c>
      <c r="F58" s="135">
        <f t="shared" si="30"/>
        <v>0.1896933333</v>
      </c>
      <c r="G58" s="136">
        <f t="shared" si="31"/>
        <v>0.00000009404444444</v>
      </c>
      <c r="H58" s="136">
        <f t="shared" si="32"/>
        <v>0.0003066666667</v>
      </c>
      <c r="I58" s="68"/>
      <c r="J58" s="79">
        <f>(C65*E65-B65*D65)/(J54*E65-B65*B65)</f>
        <v>0.001753333333</v>
      </c>
      <c r="K58" s="80">
        <f>(J54*D65-B65*C65)/(J54*E65-B65*B65)</f>
        <v>3.132333333</v>
      </c>
      <c r="L58" s="81"/>
      <c r="M58" s="1"/>
      <c r="N58" s="82">
        <f>G65/(J54-2)</f>
        <v>0.00002206825926</v>
      </c>
      <c r="O58" s="82">
        <f>SQRT((N58*E65)/(J54*E65-B65*B65))</f>
        <v>0.006302607926</v>
      </c>
      <c r="P58" s="83">
        <f>SQRT((J54*N58)/(J54*E65-B65*B65))</f>
        <v>0.1485538935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74">
        <v>6.0</v>
      </c>
      <c r="B59" s="75"/>
      <c r="C59" s="75"/>
      <c r="D59" s="135">
        <f t="shared" si="28"/>
        <v>0</v>
      </c>
      <c r="E59" s="135">
        <f t="shared" si="29"/>
        <v>0</v>
      </c>
      <c r="F59" s="135">
        <f t="shared" si="30"/>
        <v>0</v>
      </c>
      <c r="G59" s="136">
        <f t="shared" si="31"/>
        <v>0</v>
      </c>
      <c r="H59" s="136">
        <f t="shared" si="32"/>
        <v>0</v>
      </c>
      <c r="I59" s="68"/>
      <c r="J59" s="81"/>
      <c r="K59" s="81"/>
      <c r="L59" s="81"/>
      <c r="M59" s="81"/>
      <c r="N59" s="81"/>
      <c r="O59" s="81"/>
      <c r="P59" s="6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72">
        <v>7.0</v>
      </c>
      <c r="B60" s="26"/>
      <c r="C60" s="26"/>
      <c r="D60" s="28">
        <f t="shared" si="28"/>
        <v>0</v>
      </c>
      <c r="E60" s="28">
        <f t="shared" si="29"/>
        <v>0</v>
      </c>
      <c r="F60" s="28">
        <f t="shared" si="30"/>
        <v>0</v>
      </c>
      <c r="G60" s="134">
        <f t="shared" si="31"/>
        <v>0</v>
      </c>
      <c r="H60" s="134">
        <f t="shared" si="32"/>
        <v>0</v>
      </c>
      <c r="I60" s="68"/>
      <c r="J60" s="81"/>
      <c r="K60" s="81"/>
      <c r="L60" s="81"/>
      <c r="M60" s="81"/>
      <c r="N60" s="81"/>
      <c r="O60" s="81"/>
      <c r="P60" s="6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74">
        <v>8.0</v>
      </c>
      <c r="B61" s="75"/>
      <c r="C61" s="75"/>
      <c r="D61" s="135">
        <f t="shared" si="28"/>
        <v>0</v>
      </c>
      <c r="E61" s="135">
        <f t="shared" si="29"/>
        <v>0</v>
      </c>
      <c r="F61" s="135">
        <f t="shared" si="30"/>
        <v>0</v>
      </c>
      <c r="G61" s="136">
        <f t="shared" si="31"/>
        <v>0</v>
      </c>
      <c r="H61" s="136">
        <f t="shared" si="32"/>
        <v>0</v>
      </c>
      <c r="I61" s="68"/>
      <c r="J61" s="81"/>
      <c r="K61" s="81"/>
      <c r="L61" s="81"/>
      <c r="M61" s="81"/>
      <c r="N61" s="81"/>
      <c r="O61" s="81"/>
      <c r="P61" s="6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72">
        <v>9.0</v>
      </c>
      <c r="B62" s="26"/>
      <c r="C62" s="26"/>
      <c r="D62" s="28">
        <f t="shared" si="28"/>
        <v>0</v>
      </c>
      <c r="E62" s="28">
        <f t="shared" si="29"/>
        <v>0</v>
      </c>
      <c r="F62" s="28">
        <f t="shared" si="30"/>
        <v>0</v>
      </c>
      <c r="G62" s="134">
        <f t="shared" si="31"/>
        <v>0</v>
      </c>
      <c r="H62" s="134">
        <f t="shared" si="32"/>
        <v>0</v>
      </c>
      <c r="I62" s="68"/>
      <c r="J62" s="84" t="s">
        <v>41</v>
      </c>
      <c r="K62" s="84">
        <f>J58</f>
        <v>0.001753333333</v>
      </c>
      <c r="L62" s="84" t="s">
        <v>42</v>
      </c>
      <c r="M62" s="84">
        <f>O58</f>
        <v>0.006302607926</v>
      </c>
      <c r="N62" s="81"/>
      <c r="O62" s="81"/>
      <c r="P62" s="6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74">
        <v>10.0</v>
      </c>
      <c r="B63" s="75"/>
      <c r="C63" s="75"/>
      <c r="D63" s="135">
        <f t="shared" si="28"/>
        <v>0</v>
      </c>
      <c r="E63" s="135">
        <f t="shared" si="29"/>
        <v>0</v>
      </c>
      <c r="F63" s="135">
        <f t="shared" si="30"/>
        <v>0</v>
      </c>
      <c r="G63" s="136">
        <f t="shared" si="31"/>
        <v>0</v>
      </c>
      <c r="H63" s="136">
        <f t="shared" si="32"/>
        <v>0</v>
      </c>
      <c r="I63" s="68"/>
      <c r="J63" s="86" t="s">
        <v>43</v>
      </c>
      <c r="K63" s="86">
        <f>K58</f>
        <v>3.132333333</v>
      </c>
      <c r="L63" s="86" t="s">
        <v>42</v>
      </c>
      <c r="M63" s="86">
        <f>P58</f>
        <v>0.1485538935</v>
      </c>
      <c r="N63" s="81"/>
      <c r="O63" s="81"/>
      <c r="P63" s="6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72">
        <v>11.0</v>
      </c>
      <c r="B64" s="26"/>
      <c r="C64" s="26"/>
      <c r="D64" s="28">
        <f t="shared" si="28"/>
        <v>0</v>
      </c>
      <c r="E64" s="28">
        <f t="shared" si="29"/>
        <v>0</v>
      </c>
      <c r="F64" s="28">
        <f t="shared" si="30"/>
        <v>0</v>
      </c>
      <c r="G64" s="134">
        <f t="shared" si="31"/>
        <v>0</v>
      </c>
      <c r="H64" s="134">
        <f t="shared" si="32"/>
        <v>0</v>
      </c>
      <c r="I64" s="68"/>
      <c r="J64" s="68"/>
      <c r="K64" s="68"/>
      <c r="L64" s="68"/>
      <c r="M64" s="68"/>
      <c r="N64" s="68"/>
      <c r="O64" s="68"/>
      <c r="P64" s="6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72" t="s">
        <v>33</v>
      </c>
      <c r="B65" s="26">
        <f t="shared" ref="B65:H65" si="36">SUM(B54:B64)</f>
        <v>0.2</v>
      </c>
      <c r="C65" s="26">
        <f t="shared" si="36"/>
        <v>0.6352333333</v>
      </c>
      <c r="D65" s="28">
        <f t="shared" si="36"/>
        <v>0.02854166667</v>
      </c>
      <c r="E65" s="28">
        <f t="shared" si="36"/>
        <v>0.009</v>
      </c>
      <c r="F65" s="28">
        <f t="shared" si="36"/>
        <v>0.6352333333</v>
      </c>
      <c r="G65" s="134">
        <f t="shared" si="36"/>
        <v>0.00006620477778</v>
      </c>
      <c r="H65" s="134">
        <f t="shared" si="36"/>
        <v>0</v>
      </c>
      <c r="I65" s="68"/>
      <c r="J65" s="68"/>
      <c r="K65" s="68"/>
      <c r="L65" s="68"/>
      <c r="M65" s="68"/>
      <c r="N65" s="68"/>
      <c r="O65" s="68"/>
      <c r="P65" s="6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68"/>
      <c r="B66" s="68"/>
      <c r="C66" s="68"/>
      <c r="D66" s="137"/>
      <c r="E66" s="137"/>
      <c r="F66" s="137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68"/>
      <c r="B68" s="68"/>
      <c r="C68" s="87" t="s">
        <v>56</v>
      </c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68"/>
      <c r="B69" s="68"/>
      <c r="C69" s="88"/>
      <c r="D69" s="8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68"/>
      <c r="B70" s="68"/>
      <c r="C70" s="69" t="s">
        <v>57</v>
      </c>
      <c r="D70" s="70" t="s">
        <v>58</v>
      </c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68"/>
      <c r="B71" s="68"/>
      <c r="C71" s="89">
        <f>B54</f>
        <v>0.02</v>
      </c>
      <c r="D71" s="89">
        <f>F54</f>
        <v>0.0644</v>
      </c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68"/>
      <c r="B72" s="68"/>
      <c r="C72" s="90">
        <f t="shared" ref="C72:C75" si="37">IF(B55=0,C71,B55)</f>
        <v>0.03</v>
      </c>
      <c r="D72" s="90">
        <f t="shared" ref="D72:D75" si="38">IF(F55=0,D71,F55)</f>
        <v>0.09572333333</v>
      </c>
      <c r="E72" s="1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68"/>
      <c r="B73" s="68"/>
      <c r="C73" s="89">
        <f t="shared" si="37"/>
        <v>0.04</v>
      </c>
      <c r="D73" s="89">
        <f t="shared" si="38"/>
        <v>0.1270466667</v>
      </c>
      <c r="E73" s="1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90">
        <f t="shared" si="37"/>
        <v>0.05</v>
      </c>
      <c r="D74" s="90">
        <f t="shared" si="38"/>
        <v>0.15837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91">
        <f t="shared" si="37"/>
        <v>0.06</v>
      </c>
      <c r="D75" s="91">
        <f t="shared" si="38"/>
        <v>0.1896933333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92"/>
      <c r="D76" s="9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92"/>
      <c r="D77" s="9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92"/>
      <c r="D78" s="9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92"/>
      <c r="D79" s="9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92"/>
      <c r="D80" s="9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92"/>
      <c r="D81" s="9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92"/>
      <c r="D82" s="9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92"/>
      <c r="D83" s="9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92"/>
      <c r="D84" s="9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92"/>
      <c r="D85" s="9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92"/>
      <c r="D86" s="9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92"/>
      <c r="D87" s="9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92"/>
      <c r="D88" s="9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92"/>
      <c r="D89" s="9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7">
    <mergeCell ref="C2:E2"/>
    <mergeCell ref="G2:H2"/>
    <mergeCell ref="G3:H3"/>
    <mergeCell ref="G4:H4"/>
    <mergeCell ref="G5:H5"/>
    <mergeCell ref="G6:H6"/>
    <mergeCell ref="B10:D10"/>
    <mergeCell ref="F10:H10"/>
    <mergeCell ref="I10:I11"/>
    <mergeCell ref="J10:J11"/>
    <mergeCell ref="K10:K11"/>
    <mergeCell ref="E18:G18"/>
    <mergeCell ref="E19:G19"/>
    <mergeCell ref="E20:G20"/>
    <mergeCell ref="C26:C27"/>
    <mergeCell ref="A34:B34"/>
    <mergeCell ref="D34:E34"/>
    <mergeCell ref="D40:D41"/>
    <mergeCell ref="E40:E41"/>
    <mergeCell ref="C68:D69"/>
    <mergeCell ref="E21:G21"/>
    <mergeCell ref="E22:G22"/>
    <mergeCell ref="E23:G23"/>
    <mergeCell ref="E24:G24"/>
    <mergeCell ref="E25:G25"/>
    <mergeCell ref="E26:E27"/>
    <mergeCell ref="G26:G27"/>
  </mergeCells>
  <printOptions/>
  <pageMargins bottom="0.984251969" footer="0.0" header="0.0" left="0.787401575" right="0.787401575" top="0.984251969"/>
  <pageSetup paperSize="9" orientation="portrait"/>
  <drawing r:id="rId1"/>
</worksheet>
</file>